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ben.gertner/Documents/LL_Team_Priorities/"/>
    </mc:Choice>
  </mc:AlternateContent>
  <xr:revisionPtr revIDLastSave="0" documentId="13_ncr:1_{36E46074-07A1-B142-A6B2-C4095FDF9F4C}" xr6:coauthVersionLast="47" xr6:coauthVersionMax="47" xr10:uidLastSave="{00000000-0000-0000-0000-000000000000}"/>
  <bookViews>
    <workbookView xWindow="0" yWindow="660" windowWidth="30240" windowHeight="18980" xr2:uid="{00000000-000D-0000-FFFF-FFFF00000000}"/>
  </bookViews>
  <sheets>
    <sheet name="Activities" sheetId="1" r:id="rId1"/>
    <sheet name="Gantt" sheetId="2" r:id="rId2"/>
    <sheet name="Legend &amp; how to us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4" i="2" l="1"/>
  <c r="M104" i="2"/>
  <c r="L104" i="2"/>
  <c r="K104" i="2"/>
  <c r="J104" i="2"/>
  <c r="I104" i="2"/>
  <c r="H104" i="2"/>
  <c r="G104" i="2"/>
  <c r="F104" i="2"/>
  <c r="E104" i="2"/>
  <c r="D104" i="2"/>
  <c r="C104" i="2"/>
  <c r="B104" i="2"/>
  <c r="A104" i="2"/>
  <c r="N103" i="2"/>
  <c r="M103" i="2"/>
  <c r="L103" i="2"/>
  <c r="K103" i="2"/>
  <c r="J103" i="2"/>
  <c r="I103" i="2"/>
  <c r="H103" i="2"/>
  <c r="G103" i="2"/>
  <c r="F103" i="2"/>
  <c r="E103" i="2"/>
  <c r="D103" i="2"/>
  <c r="C103" i="2"/>
  <c r="B103" i="2"/>
  <c r="A103" i="2"/>
  <c r="N102" i="2"/>
  <c r="M102" i="2"/>
  <c r="L102" i="2"/>
  <c r="K102" i="2"/>
  <c r="J102" i="2"/>
  <c r="I102" i="2"/>
  <c r="H102" i="2"/>
  <c r="G102" i="2"/>
  <c r="F102" i="2"/>
  <c r="E102" i="2"/>
  <c r="D102" i="2"/>
  <c r="C102" i="2"/>
  <c r="B102" i="2"/>
  <c r="A102" i="2"/>
  <c r="N101" i="2"/>
  <c r="M101" i="2"/>
  <c r="L101" i="2"/>
  <c r="K101" i="2"/>
  <c r="J101" i="2"/>
  <c r="I101" i="2"/>
  <c r="H101" i="2"/>
  <c r="G101" i="2"/>
  <c r="F101" i="2"/>
  <c r="E101" i="2"/>
  <c r="D101" i="2"/>
  <c r="C101" i="2"/>
  <c r="B101" i="2"/>
  <c r="A101" i="2"/>
  <c r="N100" i="2"/>
  <c r="M100" i="2"/>
  <c r="L100" i="2"/>
  <c r="K100" i="2"/>
  <c r="J100" i="2"/>
  <c r="I100" i="2"/>
  <c r="H100" i="2"/>
  <c r="G100" i="2"/>
  <c r="F100" i="2"/>
  <c r="E100" i="2"/>
  <c r="D100" i="2"/>
  <c r="C100" i="2"/>
  <c r="B100" i="2"/>
  <c r="A100" i="2"/>
  <c r="N99" i="2"/>
  <c r="M99" i="2"/>
  <c r="L99" i="2"/>
  <c r="K99" i="2"/>
  <c r="J99" i="2"/>
  <c r="I99" i="2"/>
  <c r="H99" i="2"/>
  <c r="G99" i="2"/>
  <c r="F99" i="2"/>
  <c r="E99" i="2"/>
  <c r="D99" i="2"/>
  <c r="C99" i="2"/>
  <c r="B99" i="2"/>
  <c r="A99" i="2"/>
  <c r="N98" i="2"/>
  <c r="M98" i="2"/>
  <c r="L98" i="2"/>
  <c r="K98" i="2"/>
  <c r="J98" i="2"/>
  <c r="I98" i="2"/>
  <c r="H98" i="2"/>
  <c r="G98" i="2"/>
  <c r="F98" i="2"/>
  <c r="E98" i="2"/>
  <c r="D98" i="2"/>
  <c r="C98" i="2"/>
  <c r="B98" i="2"/>
  <c r="A98" i="2"/>
  <c r="N97" i="2"/>
  <c r="M97" i="2"/>
  <c r="L97" i="2"/>
  <c r="K97" i="2"/>
  <c r="J97" i="2"/>
  <c r="I97" i="2"/>
  <c r="H97" i="2"/>
  <c r="G97" i="2"/>
  <c r="F97" i="2"/>
  <c r="E97" i="2"/>
  <c r="D97" i="2"/>
  <c r="C97" i="2"/>
  <c r="B97" i="2"/>
  <c r="A97" i="2"/>
  <c r="N96" i="2"/>
  <c r="M96" i="2"/>
  <c r="L96" i="2"/>
  <c r="K96" i="2"/>
  <c r="J96" i="2"/>
  <c r="I96" i="2"/>
  <c r="H96" i="2"/>
  <c r="G96" i="2"/>
  <c r="F96" i="2"/>
  <c r="E96" i="2"/>
  <c r="D96" i="2"/>
  <c r="C96" i="2"/>
  <c r="B96" i="2"/>
  <c r="A96" i="2"/>
  <c r="N95" i="2"/>
  <c r="M95" i="2"/>
  <c r="L95" i="2"/>
  <c r="K95" i="2"/>
  <c r="J95" i="2"/>
  <c r="I95" i="2"/>
  <c r="H95" i="2"/>
  <c r="G95" i="2"/>
  <c r="F95" i="2"/>
  <c r="E95" i="2"/>
  <c r="D95" i="2"/>
  <c r="C95" i="2"/>
  <c r="B95" i="2"/>
  <c r="A95" i="2"/>
  <c r="N94" i="2"/>
  <c r="M94" i="2"/>
  <c r="L94" i="2"/>
  <c r="K94" i="2"/>
  <c r="J94" i="2"/>
  <c r="I94" i="2"/>
  <c r="H94" i="2"/>
  <c r="G94" i="2"/>
  <c r="F94" i="2"/>
  <c r="E94" i="2"/>
  <c r="D94" i="2"/>
  <c r="C94" i="2"/>
  <c r="B94" i="2"/>
  <c r="A94" i="2"/>
  <c r="N93" i="2"/>
  <c r="M93" i="2"/>
  <c r="L93" i="2"/>
  <c r="K93" i="2"/>
  <c r="J93" i="2"/>
  <c r="I93" i="2"/>
  <c r="H93" i="2"/>
  <c r="G93" i="2"/>
  <c r="F93" i="2"/>
  <c r="E93" i="2"/>
  <c r="D93" i="2"/>
  <c r="C93" i="2"/>
  <c r="B93" i="2"/>
  <c r="A93" i="2"/>
  <c r="N92" i="2"/>
  <c r="M92" i="2"/>
  <c r="L92" i="2"/>
  <c r="K92" i="2"/>
  <c r="J92" i="2"/>
  <c r="I92" i="2"/>
  <c r="H92" i="2"/>
  <c r="G92" i="2"/>
  <c r="F92" i="2"/>
  <c r="E92" i="2"/>
  <c r="D92" i="2"/>
  <c r="C92" i="2"/>
  <c r="B92" i="2"/>
  <c r="A92" i="2"/>
  <c r="N91" i="2"/>
  <c r="M91" i="2"/>
  <c r="L91" i="2"/>
  <c r="K91" i="2"/>
  <c r="J91" i="2"/>
  <c r="I91" i="2"/>
  <c r="H91" i="2"/>
  <c r="G91" i="2"/>
  <c r="F91" i="2"/>
  <c r="E91" i="2"/>
  <c r="D91" i="2"/>
  <c r="C91" i="2"/>
  <c r="B91" i="2"/>
  <c r="A91" i="2"/>
  <c r="N90" i="2"/>
  <c r="M90" i="2"/>
  <c r="L90" i="2"/>
  <c r="K90" i="2"/>
  <c r="J90" i="2"/>
  <c r="I90" i="2"/>
  <c r="H90" i="2"/>
  <c r="G90" i="2"/>
  <c r="F90" i="2"/>
  <c r="E90" i="2"/>
  <c r="D90" i="2"/>
  <c r="C90" i="2"/>
  <c r="B90" i="2"/>
  <c r="A90" i="2"/>
  <c r="N89" i="2"/>
  <c r="M89" i="2"/>
  <c r="L89" i="2"/>
  <c r="K89" i="2"/>
  <c r="J89" i="2"/>
  <c r="I89" i="2"/>
  <c r="H89" i="2"/>
  <c r="G89" i="2"/>
  <c r="F89" i="2"/>
  <c r="E89" i="2"/>
  <c r="D89" i="2"/>
  <c r="C89" i="2"/>
  <c r="B89" i="2"/>
  <c r="A89" i="2"/>
  <c r="N88" i="2"/>
  <c r="M88" i="2"/>
  <c r="L88" i="2"/>
  <c r="K88" i="2"/>
  <c r="J88" i="2"/>
  <c r="I88" i="2"/>
  <c r="H88" i="2"/>
  <c r="G88" i="2"/>
  <c r="F88" i="2"/>
  <c r="E88" i="2"/>
  <c r="D88" i="2"/>
  <c r="C88" i="2"/>
  <c r="B88" i="2"/>
  <c r="A88" i="2"/>
  <c r="N87" i="2"/>
  <c r="M87" i="2"/>
  <c r="L87" i="2"/>
  <c r="K87" i="2"/>
  <c r="J87" i="2"/>
  <c r="I87" i="2"/>
  <c r="H87" i="2"/>
  <c r="G87" i="2"/>
  <c r="F87" i="2"/>
  <c r="E87" i="2"/>
  <c r="D87" i="2"/>
  <c r="C87" i="2"/>
  <c r="B87" i="2"/>
  <c r="A87" i="2"/>
  <c r="N86" i="2"/>
  <c r="M86" i="2"/>
  <c r="L86" i="2"/>
  <c r="K86" i="2"/>
  <c r="J86" i="2"/>
  <c r="I86" i="2"/>
  <c r="H86" i="2"/>
  <c r="G86" i="2"/>
  <c r="F86" i="2"/>
  <c r="E86" i="2"/>
  <c r="D86" i="2"/>
  <c r="C86" i="2"/>
  <c r="B86" i="2"/>
  <c r="A86" i="2"/>
  <c r="N85" i="2"/>
  <c r="M85" i="2"/>
  <c r="L85" i="2"/>
  <c r="K85" i="2"/>
  <c r="J85" i="2"/>
  <c r="I85" i="2"/>
  <c r="H85" i="2"/>
  <c r="G85" i="2"/>
  <c r="F85" i="2"/>
  <c r="E85" i="2"/>
  <c r="D85" i="2"/>
  <c r="C85" i="2"/>
  <c r="B85" i="2"/>
  <c r="A85" i="2"/>
  <c r="N84" i="2"/>
  <c r="M84" i="2"/>
  <c r="L84" i="2"/>
  <c r="K84" i="2"/>
  <c r="J84" i="2"/>
  <c r="I84" i="2"/>
  <c r="H84" i="2"/>
  <c r="G84" i="2"/>
  <c r="F84" i="2"/>
  <c r="E84" i="2"/>
  <c r="D84" i="2"/>
  <c r="C84" i="2"/>
  <c r="B84" i="2"/>
  <c r="A84" i="2"/>
  <c r="N83" i="2"/>
  <c r="M83" i="2"/>
  <c r="L83" i="2"/>
  <c r="K83" i="2"/>
  <c r="J83" i="2"/>
  <c r="I83" i="2"/>
  <c r="H83" i="2"/>
  <c r="G83" i="2"/>
  <c r="F83" i="2"/>
  <c r="E83" i="2"/>
  <c r="D83" i="2"/>
  <c r="C83" i="2"/>
  <c r="B83" i="2"/>
  <c r="A83" i="2"/>
  <c r="N82" i="2"/>
  <c r="M82" i="2"/>
  <c r="L82" i="2"/>
  <c r="K82" i="2"/>
  <c r="J82" i="2"/>
  <c r="I82" i="2"/>
  <c r="H82" i="2"/>
  <c r="G82" i="2"/>
  <c r="F82" i="2"/>
  <c r="E82" i="2"/>
  <c r="D82" i="2"/>
  <c r="C82" i="2"/>
  <c r="B82" i="2"/>
  <c r="A82" i="2"/>
  <c r="N81" i="2"/>
  <c r="M81" i="2"/>
  <c r="L81" i="2"/>
  <c r="K81" i="2"/>
  <c r="J81" i="2"/>
  <c r="I81" i="2"/>
  <c r="H81" i="2"/>
  <c r="G81" i="2"/>
  <c r="F81" i="2"/>
  <c r="E81" i="2"/>
  <c r="D81" i="2"/>
  <c r="C81" i="2"/>
  <c r="B81" i="2"/>
  <c r="A81" i="2"/>
  <c r="N80" i="2"/>
  <c r="M80" i="2"/>
  <c r="L80" i="2"/>
  <c r="K80" i="2"/>
  <c r="J80" i="2"/>
  <c r="I80" i="2"/>
  <c r="H80" i="2"/>
  <c r="G80" i="2"/>
  <c r="F80" i="2"/>
  <c r="E80" i="2"/>
  <c r="D80" i="2"/>
  <c r="C80" i="2"/>
  <c r="B80" i="2"/>
  <c r="A80" i="2"/>
  <c r="N79" i="2"/>
  <c r="M79" i="2"/>
  <c r="L79" i="2"/>
  <c r="K79" i="2"/>
  <c r="J79" i="2"/>
  <c r="I79" i="2"/>
  <c r="H79" i="2"/>
  <c r="G79" i="2"/>
  <c r="F79" i="2"/>
  <c r="E79" i="2"/>
  <c r="D79" i="2"/>
  <c r="C79" i="2"/>
  <c r="B79" i="2"/>
  <c r="A79" i="2"/>
  <c r="N78" i="2"/>
  <c r="M78" i="2"/>
  <c r="L78" i="2"/>
  <c r="K78" i="2"/>
  <c r="J78" i="2"/>
  <c r="I78" i="2"/>
  <c r="H78" i="2"/>
  <c r="G78" i="2"/>
  <c r="F78" i="2"/>
  <c r="E78" i="2"/>
  <c r="D78" i="2"/>
  <c r="C78" i="2"/>
  <c r="B78" i="2"/>
  <c r="A78" i="2"/>
  <c r="N77" i="2"/>
  <c r="M77" i="2"/>
  <c r="L77" i="2"/>
  <c r="K77" i="2"/>
  <c r="J77" i="2"/>
  <c r="I77" i="2"/>
  <c r="H77" i="2"/>
  <c r="G77" i="2"/>
  <c r="F77" i="2"/>
  <c r="E77" i="2"/>
  <c r="D77" i="2"/>
  <c r="C77" i="2"/>
  <c r="B77" i="2"/>
  <c r="A77" i="2"/>
  <c r="N76" i="2"/>
  <c r="M76" i="2"/>
  <c r="L76" i="2"/>
  <c r="K76" i="2"/>
  <c r="J76" i="2"/>
  <c r="I76" i="2"/>
  <c r="H76" i="2"/>
  <c r="G76" i="2"/>
  <c r="F76" i="2"/>
  <c r="E76" i="2"/>
  <c r="D76" i="2"/>
  <c r="C76" i="2"/>
  <c r="B76" i="2"/>
  <c r="A76" i="2"/>
  <c r="N75" i="2"/>
  <c r="M75" i="2"/>
  <c r="L75" i="2"/>
  <c r="K75" i="2"/>
  <c r="J75" i="2"/>
  <c r="I75" i="2"/>
  <c r="H75" i="2"/>
  <c r="G75" i="2"/>
  <c r="F75" i="2"/>
  <c r="E75" i="2"/>
  <c r="D75" i="2"/>
  <c r="C75" i="2"/>
  <c r="B75" i="2"/>
  <c r="A75" i="2"/>
  <c r="N74" i="2"/>
  <c r="M74" i="2"/>
  <c r="L74" i="2"/>
  <c r="K74" i="2"/>
  <c r="J74" i="2"/>
  <c r="I74" i="2"/>
  <c r="H74" i="2"/>
  <c r="G74" i="2"/>
  <c r="F74" i="2"/>
  <c r="E74" i="2"/>
  <c r="D74" i="2"/>
  <c r="C74" i="2"/>
  <c r="B74" i="2"/>
  <c r="A74" i="2"/>
  <c r="N73" i="2"/>
  <c r="M73" i="2"/>
  <c r="L73" i="2"/>
  <c r="K73" i="2"/>
  <c r="J73" i="2"/>
  <c r="I73" i="2"/>
  <c r="H73" i="2"/>
  <c r="G73" i="2"/>
  <c r="F73" i="2"/>
  <c r="E73" i="2"/>
  <c r="D73" i="2"/>
  <c r="C73" i="2"/>
  <c r="B73" i="2"/>
  <c r="A73" i="2"/>
  <c r="N72" i="2"/>
  <c r="M72" i="2"/>
  <c r="L72" i="2"/>
  <c r="K72" i="2"/>
  <c r="J72" i="2"/>
  <c r="I72" i="2"/>
  <c r="H72" i="2"/>
  <c r="G72" i="2"/>
  <c r="F72" i="2"/>
  <c r="E72" i="2"/>
  <c r="D72" i="2"/>
  <c r="C72" i="2"/>
  <c r="B72" i="2"/>
  <c r="A72" i="2"/>
  <c r="N71" i="2"/>
  <c r="M71" i="2"/>
  <c r="L71" i="2"/>
  <c r="K71" i="2"/>
  <c r="J71" i="2"/>
  <c r="I71" i="2"/>
  <c r="H71" i="2"/>
  <c r="G71" i="2"/>
  <c r="F71" i="2"/>
  <c r="E71" i="2"/>
  <c r="D71" i="2"/>
  <c r="C71" i="2"/>
  <c r="B71" i="2"/>
  <c r="A71" i="2"/>
  <c r="N70" i="2"/>
  <c r="M70" i="2"/>
  <c r="L70" i="2"/>
  <c r="K70" i="2"/>
  <c r="J70" i="2"/>
  <c r="I70" i="2"/>
  <c r="H70" i="2"/>
  <c r="G70" i="2"/>
  <c r="F70" i="2"/>
  <c r="E70" i="2"/>
  <c r="D70" i="2"/>
  <c r="C70" i="2"/>
  <c r="B70" i="2"/>
  <c r="A70" i="2"/>
  <c r="N69" i="2"/>
  <c r="M69" i="2"/>
  <c r="L69" i="2"/>
  <c r="K69" i="2"/>
  <c r="J69" i="2"/>
  <c r="I69" i="2"/>
  <c r="H69" i="2"/>
  <c r="G69" i="2"/>
  <c r="F69" i="2"/>
  <c r="E69" i="2"/>
  <c r="D69" i="2"/>
  <c r="C69" i="2"/>
  <c r="B69" i="2"/>
  <c r="A69" i="2"/>
  <c r="N68" i="2"/>
  <c r="M68" i="2"/>
  <c r="L68" i="2"/>
  <c r="K68" i="2"/>
  <c r="J68" i="2"/>
  <c r="I68" i="2"/>
  <c r="H68" i="2"/>
  <c r="G68" i="2"/>
  <c r="F68" i="2"/>
  <c r="E68" i="2"/>
  <c r="D68" i="2"/>
  <c r="C68" i="2"/>
  <c r="B68" i="2"/>
  <c r="A68" i="2"/>
  <c r="N67" i="2"/>
  <c r="M67" i="2"/>
  <c r="L67" i="2"/>
  <c r="K67" i="2"/>
  <c r="J67" i="2"/>
  <c r="I67" i="2"/>
  <c r="H67" i="2"/>
  <c r="G67" i="2"/>
  <c r="F67" i="2"/>
  <c r="E67" i="2"/>
  <c r="D67" i="2"/>
  <c r="C67" i="2"/>
  <c r="B67" i="2"/>
  <c r="A67" i="2"/>
  <c r="N66" i="2"/>
  <c r="M66" i="2"/>
  <c r="L66" i="2"/>
  <c r="K66" i="2"/>
  <c r="J66" i="2"/>
  <c r="I66" i="2"/>
  <c r="H66" i="2"/>
  <c r="G66" i="2"/>
  <c r="F66" i="2"/>
  <c r="E66" i="2"/>
  <c r="D66" i="2"/>
  <c r="C66" i="2"/>
  <c r="B66" i="2"/>
  <c r="A66" i="2"/>
  <c r="N65" i="2"/>
  <c r="M65" i="2"/>
  <c r="L65" i="2"/>
  <c r="K65" i="2"/>
  <c r="J65" i="2"/>
  <c r="I65" i="2"/>
  <c r="H65" i="2"/>
  <c r="G65" i="2"/>
  <c r="F65" i="2"/>
  <c r="E65" i="2"/>
  <c r="D65" i="2"/>
  <c r="C65" i="2"/>
  <c r="B65" i="2"/>
  <c r="A65" i="2"/>
  <c r="N64" i="2"/>
  <c r="M64" i="2"/>
  <c r="L64" i="2"/>
  <c r="K64" i="2"/>
  <c r="J64" i="2"/>
  <c r="I64" i="2"/>
  <c r="H64" i="2"/>
  <c r="G64" i="2"/>
  <c r="F64" i="2"/>
  <c r="E64" i="2"/>
  <c r="D64" i="2"/>
  <c r="C64" i="2"/>
  <c r="B64" i="2"/>
  <c r="A64" i="2"/>
  <c r="N63" i="2"/>
  <c r="M63" i="2"/>
  <c r="L63" i="2"/>
  <c r="K63" i="2"/>
  <c r="J63" i="2"/>
  <c r="I63" i="2"/>
  <c r="H63" i="2"/>
  <c r="G63" i="2"/>
  <c r="F63" i="2"/>
  <c r="E63" i="2"/>
  <c r="D63" i="2"/>
  <c r="C63" i="2"/>
  <c r="B63" i="2"/>
  <c r="A63" i="2"/>
  <c r="N62" i="2"/>
  <c r="M62" i="2"/>
  <c r="L62" i="2"/>
  <c r="K62" i="2"/>
  <c r="J62" i="2"/>
  <c r="I62" i="2"/>
  <c r="H62" i="2"/>
  <c r="G62" i="2"/>
  <c r="F62" i="2"/>
  <c r="E62" i="2"/>
  <c r="D62" i="2"/>
  <c r="C62" i="2"/>
  <c r="B62" i="2"/>
  <c r="A62" i="2"/>
  <c r="N61" i="2"/>
  <c r="M61" i="2"/>
  <c r="L61" i="2"/>
  <c r="K61" i="2"/>
  <c r="J61" i="2"/>
  <c r="I61" i="2"/>
  <c r="H61" i="2"/>
  <c r="G61" i="2"/>
  <c r="F61" i="2"/>
  <c r="E61" i="2"/>
  <c r="D61" i="2"/>
  <c r="C61" i="2"/>
  <c r="B61" i="2"/>
  <c r="A61" i="2"/>
  <c r="N60" i="2"/>
  <c r="M60" i="2"/>
  <c r="L60" i="2"/>
  <c r="K60" i="2"/>
  <c r="J60" i="2"/>
  <c r="I60" i="2"/>
  <c r="H60" i="2"/>
  <c r="G60" i="2"/>
  <c r="F60" i="2"/>
  <c r="E60" i="2"/>
  <c r="D60" i="2"/>
  <c r="C60" i="2"/>
  <c r="B60" i="2"/>
  <c r="A60" i="2"/>
  <c r="N59" i="2"/>
  <c r="M59" i="2"/>
  <c r="L59" i="2"/>
  <c r="K59" i="2"/>
  <c r="J59" i="2"/>
  <c r="I59" i="2"/>
  <c r="H59" i="2"/>
  <c r="G59" i="2"/>
  <c r="F59" i="2"/>
  <c r="E59" i="2"/>
  <c r="D59" i="2"/>
  <c r="C59" i="2"/>
  <c r="B59" i="2"/>
  <c r="A59" i="2"/>
  <c r="N58" i="2"/>
  <c r="M58" i="2"/>
  <c r="L58" i="2"/>
  <c r="K58" i="2"/>
  <c r="J58" i="2"/>
  <c r="I58" i="2"/>
  <c r="H58" i="2"/>
  <c r="G58" i="2"/>
  <c r="F58" i="2"/>
  <c r="E58" i="2"/>
  <c r="D58" i="2"/>
  <c r="C58" i="2"/>
  <c r="B58" i="2"/>
  <c r="A58" i="2"/>
  <c r="N57" i="2"/>
  <c r="M57" i="2"/>
  <c r="L57" i="2"/>
  <c r="K57" i="2"/>
  <c r="J57" i="2"/>
  <c r="I57" i="2"/>
  <c r="H57" i="2"/>
  <c r="G57" i="2"/>
  <c r="F57" i="2"/>
  <c r="E57" i="2"/>
  <c r="D57" i="2"/>
  <c r="C57" i="2"/>
  <c r="B57" i="2"/>
  <c r="A57" i="2"/>
  <c r="N56" i="2"/>
  <c r="M56" i="2"/>
  <c r="L56" i="2"/>
  <c r="K56" i="2"/>
  <c r="J56" i="2"/>
  <c r="I56" i="2"/>
  <c r="H56" i="2"/>
  <c r="G56" i="2"/>
  <c r="F56" i="2"/>
  <c r="E56" i="2"/>
  <c r="D56" i="2"/>
  <c r="C56" i="2"/>
  <c r="B56" i="2"/>
  <c r="A56" i="2"/>
  <c r="N55" i="2"/>
  <c r="M55" i="2"/>
  <c r="L55" i="2"/>
  <c r="K55" i="2"/>
  <c r="J55" i="2"/>
  <c r="I55" i="2"/>
  <c r="H55" i="2"/>
  <c r="G55" i="2"/>
  <c r="F55" i="2"/>
  <c r="E55" i="2"/>
  <c r="D55" i="2"/>
  <c r="C55" i="2"/>
  <c r="B55" i="2"/>
  <c r="A55" i="2"/>
  <c r="N54" i="2"/>
  <c r="M54" i="2"/>
  <c r="L54" i="2"/>
  <c r="K54" i="2"/>
  <c r="J54" i="2"/>
  <c r="I54" i="2"/>
  <c r="H54" i="2"/>
  <c r="G54" i="2"/>
  <c r="F54" i="2"/>
  <c r="E54" i="2"/>
  <c r="D54" i="2"/>
  <c r="C54" i="2"/>
  <c r="B54" i="2"/>
  <c r="A54" i="2"/>
  <c r="N53" i="2"/>
  <c r="M53" i="2"/>
  <c r="L53" i="2"/>
  <c r="K53" i="2"/>
  <c r="J53" i="2"/>
  <c r="I53" i="2"/>
  <c r="H53" i="2"/>
  <c r="G53" i="2"/>
  <c r="F53" i="2"/>
  <c r="E53" i="2"/>
  <c r="D53" i="2"/>
  <c r="C53" i="2"/>
  <c r="B53" i="2"/>
  <c r="A53" i="2"/>
  <c r="N52" i="2"/>
  <c r="M52" i="2"/>
  <c r="L52" i="2"/>
  <c r="K52" i="2"/>
  <c r="J52" i="2"/>
  <c r="I52" i="2"/>
  <c r="H52" i="2"/>
  <c r="G52" i="2"/>
  <c r="F52" i="2"/>
  <c r="E52" i="2"/>
  <c r="D52" i="2"/>
  <c r="C52" i="2"/>
  <c r="B52" i="2"/>
  <c r="A52" i="2"/>
  <c r="N51" i="2"/>
  <c r="M51" i="2"/>
  <c r="L51" i="2"/>
  <c r="K51" i="2"/>
  <c r="J51" i="2"/>
  <c r="I51" i="2"/>
  <c r="H51" i="2"/>
  <c r="G51" i="2"/>
  <c r="F51" i="2"/>
  <c r="E51" i="2"/>
  <c r="D51" i="2"/>
  <c r="C51" i="2"/>
  <c r="B51" i="2"/>
  <c r="A51" i="2"/>
  <c r="N50" i="2"/>
  <c r="M50" i="2"/>
  <c r="L50" i="2"/>
  <c r="K50" i="2"/>
  <c r="J50" i="2"/>
  <c r="I50" i="2"/>
  <c r="H50" i="2"/>
  <c r="G50" i="2"/>
  <c r="F50" i="2"/>
  <c r="E50" i="2"/>
  <c r="D50" i="2"/>
  <c r="C50" i="2"/>
  <c r="B50" i="2"/>
  <c r="A50" i="2"/>
  <c r="N49" i="2"/>
  <c r="M49" i="2"/>
  <c r="L49" i="2"/>
  <c r="K49" i="2"/>
  <c r="J49" i="2"/>
  <c r="I49" i="2"/>
  <c r="H49" i="2"/>
  <c r="G49" i="2"/>
  <c r="F49" i="2"/>
  <c r="E49" i="2"/>
  <c r="D49" i="2"/>
  <c r="C49" i="2"/>
  <c r="B49" i="2"/>
  <c r="A49" i="2"/>
  <c r="N48" i="2"/>
  <c r="M48" i="2"/>
  <c r="L48" i="2"/>
  <c r="K48" i="2"/>
  <c r="J48" i="2"/>
  <c r="I48" i="2"/>
  <c r="H48" i="2"/>
  <c r="G48" i="2"/>
  <c r="F48" i="2"/>
  <c r="E48" i="2"/>
  <c r="D48" i="2"/>
  <c r="C48" i="2"/>
  <c r="B48" i="2"/>
  <c r="A48" i="2"/>
  <c r="N47" i="2"/>
  <c r="M47" i="2"/>
  <c r="L47" i="2"/>
  <c r="K47" i="2"/>
  <c r="J47" i="2"/>
  <c r="I47" i="2"/>
  <c r="H47" i="2"/>
  <c r="G47" i="2"/>
  <c r="F47" i="2"/>
  <c r="E47" i="2"/>
  <c r="D47" i="2"/>
  <c r="C47" i="2"/>
  <c r="B47" i="2"/>
  <c r="A47" i="2"/>
  <c r="N46" i="2"/>
  <c r="M46" i="2"/>
  <c r="L46" i="2"/>
  <c r="K46" i="2"/>
  <c r="J46" i="2"/>
  <c r="I46" i="2"/>
  <c r="H46" i="2"/>
  <c r="G46" i="2"/>
  <c r="F46" i="2"/>
  <c r="E46" i="2"/>
  <c r="D46" i="2"/>
  <c r="C46" i="2"/>
  <c r="B46" i="2"/>
  <c r="A46" i="2"/>
  <c r="N45" i="2"/>
  <c r="M45" i="2"/>
  <c r="L45" i="2"/>
  <c r="K45" i="2"/>
  <c r="J45" i="2"/>
  <c r="I45" i="2"/>
  <c r="H45" i="2"/>
  <c r="G45" i="2"/>
  <c r="F45" i="2"/>
  <c r="E45" i="2"/>
  <c r="D45" i="2"/>
  <c r="C45" i="2"/>
  <c r="B45" i="2"/>
  <c r="A45" i="2"/>
  <c r="N44" i="2"/>
  <c r="M44" i="2"/>
  <c r="L44" i="2"/>
  <c r="K44" i="2"/>
  <c r="J44" i="2"/>
  <c r="I44" i="2"/>
  <c r="H44" i="2"/>
  <c r="G44" i="2"/>
  <c r="F44" i="2"/>
  <c r="E44" i="2"/>
  <c r="D44" i="2"/>
  <c r="C44" i="2"/>
  <c r="B44" i="2"/>
  <c r="A44" i="2"/>
  <c r="N43" i="2"/>
  <c r="M43" i="2"/>
  <c r="L43" i="2"/>
  <c r="K43" i="2"/>
  <c r="J43" i="2"/>
  <c r="I43" i="2"/>
  <c r="H43" i="2"/>
  <c r="G43" i="2"/>
  <c r="F43" i="2"/>
  <c r="E43" i="2"/>
  <c r="D43" i="2"/>
  <c r="C43" i="2"/>
  <c r="B43" i="2"/>
  <c r="A43" i="2"/>
  <c r="N42" i="2"/>
  <c r="M42" i="2"/>
  <c r="L42" i="2"/>
  <c r="K42" i="2"/>
  <c r="J42" i="2"/>
  <c r="I42" i="2"/>
  <c r="H42" i="2"/>
  <c r="G42" i="2"/>
  <c r="F42" i="2"/>
  <c r="E42" i="2"/>
  <c r="D42" i="2"/>
  <c r="C42" i="2"/>
  <c r="B42" i="2"/>
  <c r="A42" i="2"/>
  <c r="N41" i="2"/>
  <c r="M41" i="2"/>
  <c r="L41" i="2"/>
  <c r="K41" i="2"/>
  <c r="J41" i="2"/>
  <c r="I41" i="2"/>
  <c r="H41" i="2"/>
  <c r="G41" i="2"/>
  <c r="F41" i="2"/>
  <c r="E41" i="2"/>
  <c r="D41" i="2"/>
  <c r="C41" i="2"/>
  <c r="B41" i="2"/>
  <c r="A41" i="2"/>
  <c r="N40" i="2"/>
  <c r="M40" i="2"/>
  <c r="L40" i="2"/>
  <c r="K40" i="2"/>
  <c r="J40" i="2"/>
  <c r="I40" i="2"/>
  <c r="H40" i="2"/>
  <c r="G40" i="2"/>
  <c r="F40" i="2"/>
  <c r="E40" i="2"/>
  <c r="D40" i="2"/>
  <c r="C40" i="2"/>
  <c r="B40" i="2"/>
  <c r="A40" i="2"/>
  <c r="N39" i="2"/>
  <c r="M39" i="2"/>
  <c r="L39" i="2"/>
  <c r="K39" i="2"/>
  <c r="J39" i="2"/>
  <c r="I39" i="2"/>
  <c r="H39" i="2"/>
  <c r="G39" i="2"/>
  <c r="F39" i="2"/>
  <c r="E39" i="2"/>
  <c r="D39" i="2"/>
  <c r="C39" i="2"/>
  <c r="B39" i="2"/>
  <c r="A39" i="2"/>
  <c r="N38" i="2"/>
  <c r="M38" i="2"/>
  <c r="L38" i="2"/>
  <c r="K38" i="2"/>
  <c r="J38" i="2"/>
  <c r="I38" i="2"/>
  <c r="H38" i="2"/>
  <c r="G38" i="2"/>
  <c r="F38" i="2"/>
  <c r="E38" i="2"/>
  <c r="D38" i="2"/>
  <c r="C38" i="2"/>
  <c r="B38" i="2"/>
  <c r="A38" i="2"/>
  <c r="N37" i="2"/>
  <c r="M37" i="2"/>
  <c r="L37" i="2"/>
  <c r="K37" i="2"/>
  <c r="J37" i="2"/>
  <c r="I37" i="2"/>
  <c r="H37" i="2"/>
  <c r="G37" i="2"/>
  <c r="F37" i="2"/>
  <c r="E37" i="2"/>
  <c r="D37" i="2"/>
  <c r="C37" i="2"/>
  <c r="B37" i="2"/>
  <c r="A37" i="2"/>
  <c r="N36" i="2"/>
  <c r="M36" i="2"/>
  <c r="L36" i="2"/>
  <c r="K36" i="2"/>
  <c r="J36" i="2"/>
  <c r="I36" i="2"/>
  <c r="H36" i="2"/>
  <c r="G36" i="2"/>
  <c r="F36" i="2"/>
  <c r="E36" i="2"/>
  <c r="D36" i="2"/>
  <c r="C36" i="2"/>
  <c r="B36" i="2"/>
  <c r="A36" i="2"/>
  <c r="N35" i="2"/>
  <c r="M35" i="2"/>
  <c r="L35" i="2"/>
  <c r="K35" i="2"/>
  <c r="J35" i="2"/>
  <c r="I35" i="2"/>
  <c r="H35" i="2"/>
  <c r="G35" i="2"/>
  <c r="F35" i="2"/>
  <c r="E35" i="2"/>
  <c r="D35" i="2"/>
  <c r="C35" i="2"/>
  <c r="B35" i="2"/>
  <c r="A35" i="2"/>
  <c r="N34" i="2"/>
  <c r="M34" i="2"/>
  <c r="L34" i="2"/>
  <c r="K34" i="2"/>
  <c r="J34" i="2"/>
  <c r="I34" i="2"/>
  <c r="H34" i="2"/>
  <c r="G34" i="2"/>
  <c r="F34" i="2"/>
  <c r="E34" i="2"/>
  <c r="D34" i="2"/>
  <c r="C34" i="2"/>
  <c r="B34" i="2"/>
  <c r="A34" i="2"/>
  <c r="N33" i="2"/>
  <c r="M33" i="2"/>
  <c r="L33" i="2"/>
  <c r="K33" i="2"/>
  <c r="J33" i="2"/>
  <c r="I33" i="2"/>
  <c r="H33" i="2"/>
  <c r="G33" i="2"/>
  <c r="F33" i="2"/>
  <c r="E33" i="2"/>
  <c r="D33" i="2"/>
  <c r="C33" i="2"/>
  <c r="B33" i="2"/>
  <c r="A33" i="2"/>
  <c r="N32" i="2"/>
  <c r="M32" i="2"/>
  <c r="L32" i="2"/>
  <c r="K32" i="2"/>
  <c r="J32" i="2"/>
  <c r="I32" i="2"/>
  <c r="H32" i="2"/>
  <c r="G32" i="2"/>
  <c r="F32" i="2"/>
  <c r="E32" i="2"/>
  <c r="D32" i="2"/>
  <c r="C32" i="2"/>
  <c r="B32" i="2"/>
  <c r="A32" i="2"/>
  <c r="N31" i="2"/>
  <c r="M31" i="2"/>
  <c r="L31" i="2"/>
  <c r="K31" i="2"/>
  <c r="J31" i="2"/>
  <c r="I31" i="2"/>
  <c r="H31" i="2"/>
  <c r="G31" i="2"/>
  <c r="F31" i="2"/>
  <c r="E31" i="2"/>
  <c r="D31" i="2"/>
  <c r="C31" i="2"/>
  <c r="B31" i="2"/>
  <c r="A31" i="2"/>
  <c r="N30" i="2"/>
  <c r="M30" i="2"/>
  <c r="L30" i="2"/>
  <c r="K30" i="2"/>
  <c r="J30" i="2"/>
  <c r="I30" i="2"/>
  <c r="H30" i="2"/>
  <c r="G30" i="2"/>
  <c r="F30" i="2"/>
  <c r="E30" i="2"/>
  <c r="D30" i="2"/>
  <c r="C30" i="2"/>
  <c r="B30" i="2"/>
  <c r="A30" i="2"/>
  <c r="N29" i="2"/>
  <c r="M29" i="2"/>
  <c r="L29" i="2"/>
  <c r="K29" i="2"/>
  <c r="J29" i="2"/>
  <c r="I29" i="2"/>
  <c r="H29" i="2"/>
  <c r="G29" i="2"/>
  <c r="F29" i="2"/>
  <c r="E29" i="2"/>
  <c r="D29" i="2"/>
  <c r="C29" i="2"/>
  <c r="B29" i="2"/>
  <c r="A29" i="2"/>
  <c r="N28" i="2"/>
  <c r="M28" i="2"/>
  <c r="L28" i="2"/>
  <c r="K28" i="2"/>
  <c r="J28" i="2"/>
  <c r="I28" i="2"/>
  <c r="H28" i="2"/>
  <c r="G28" i="2"/>
  <c r="F28" i="2"/>
  <c r="E28" i="2"/>
  <c r="D28" i="2"/>
  <c r="C28" i="2"/>
  <c r="B28" i="2"/>
  <c r="A28" i="2"/>
  <c r="N27" i="2"/>
  <c r="M27" i="2"/>
  <c r="L27" i="2"/>
  <c r="K27" i="2"/>
  <c r="J27" i="2"/>
  <c r="I27" i="2"/>
  <c r="H27" i="2"/>
  <c r="G27" i="2"/>
  <c r="F27" i="2"/>
  <c r="E27" i="2"/>
  <c r="D27" i="2"/>
  <c r="C27" i="2"/>
  <c r="B27" i="2"/>
  <c r="A27" i="2"/>
  <c r="N26" i="2"/>
  <c r="M26" i="2"/>
  <c r="L26" i="2"/>
  <c r="K26" i="2"/>
  <c r="J26" i="2"/>
  <c r="I26" i="2"/>
  <c r="H26" i="2"/>
  <c r="G26" i="2"/>
  <c r="F26" i="2"/>
  <c r="E26" i="2"/>
  <c r="D26" i="2"/>
  <c r="C26" i="2"/>
  <c r="B26" i="2"/>
  <c r="A26" i="2"/>
  <c r="N25" i="2"/>
  <c r="M25" i="2"/>
  <c r="L25" i="2"/>
  <c r="K25" i="2"/>
  <c r="J25" i="2"/>
  <c r="I25" i="2"/>
  <c r="H25" i="2"/>
  <c r="G25" i="2"/>
  <c r="F25" i="2"/>
  <c r="E25" i="2"/>
  <c r="D25" i="2"/>
  <c r="C25" i="2"/>
  <c r="B25" i="2"/>
  <c r="A25" i="2"/>
  <c r="N24" i="2"/>
  <c r="M24" i="2"/>
  <c r="L24" i="2"/>
  <c r="K24" i="2"/>
  <c r="J24" i="2"/>
  <c r="I24" i="2"/>
  <c r="H24" i="2"/>
  <c r="G24" i="2"/>
  <c r="F24" i="2"/>
  <c r="E24" i="2"/>
  <c r="D24" i="2"/>
  <c r="C24" i="2"/>
  <c r="B24" i="2"/>
  <c r="A24" i="2"/>
  <c r="N23" i="2"/>
  <c r="M23" i="2"/>
  <c r="L23" i="2"/>
  <c r="K23" i="2"/>
  <c r="J23" i="2"/>
  <c r="I23" i="2"/>
  <c r="H23" i="2"/>
  <c r="G23" i="2"/>
  <c r="F23" i="2"/>
  <c r="E23" i="2"/>
  <c r="D23" i="2"/>
  <c r="C23" i="2"/>
  <c r="B23" i="2"/>
  <c r="A23" i="2"/>
  <c r="N22" i="2"/>
  <c r="M22" i="2"/>
  <c r="L22" i="2"/>
  <c r="K22" i="2"/>
  <c r="J22" i="2"/>
  <c r="I22" i="2"/>
  <c r="H22" i="2"/>
  <c r="G22" i="2"/>
  <c r="F22" i="2"/>
  <c r="E22" i="2"/>
  <c r="D22" i="2"/>
  <c r="C22" i="2"/>
  <c r="B22" i="2"/>
  <c r="A22" i="2"/>
  <c r="N21" i="2"/>
  <c r="M21" i="2"/>
  <c r="L21" i="2"/>
  <c r="K21" i="2"/>
  <c r="J21" i="2"/>
  <c r="I21" i="2"/>
  <c r="H21" i="2"/>
  <c r="G21" i="2"/>
  <c r="F21" i="2"/>
  <c r="E21" i="2"/>
  <c r="D21" i="2"/>
  <c r="C21" i="2"/>
  <c r="B21" i="2"/>
  <c r="A21" i="2"/>
  <c r="N20" i="2"/>
  <c r="M20" i="2"/>
  <c r="L20" i="2"/>
  <c r="K20" i="2"/>
  <c r="J20" i="2"/>
  <c r="I20" i="2"/>
  <c r="H20" i="2"/>
  <c r="G20" i="2"/>
  <c r="F20" i="2"/>
  <c r="E20" i="2"/>
  <c r="D20" i="2"/>
  <c r="C20" i="2"/>
  <c r="B20" i="2"/>
  <c r="A20" i="2"/>
  <c r="N19" i="2"/>
  <c r="M19" i="2"/>
  <c r="L19" i="2"/>
  <c r="K19" i="2"/>
  <c r="J19" i="2"/>
  <c r="I19" i="2"/>
  <c r="H19" i="2"/>
  <c r="G19" i="2"/>
  <c r="F19" i="2"/>
  <c r="E19" i="2"/>
  <c r="D19" i="2"/>
  <c r="C19" i="2"/>
  <c r="B19" i="2"/>
  <c r="A19" i="2"/>
  <c r="N18" i="2"/>
  <c r="M18" i="2"/>
  <c r="L18" i="2"/>
  <c r="K18" i="2"/>
  <c r="J18" i="2"/>
  <c r="I18" i="2"/>
  <c r="H18" i="2"/>
  <c r="G18" i="2"/>
  <c r="F18" i="2"/>
  <c r="E18" i="2"/>
  <c r="D18" i="2"/>
  <c r="C18" i="2"/>
  <c r="B18" i="2"/>
  <c r="A18" i="2"/>
  <c r="N17" i="2"/>
  <c r="M17" i="2"/>
  <c r="L17" i="2"/>
  <c r="K17" i="2"/>
  <c r="J17" i="2"/>
  <c r="I17" i="2"/>
  <c r="H17" i="2"/>
  <c r="G17" i="2"/>
  <c r="F17" i="2"/>
  <c r="E17" i="2"/>
  <c r="D17" i="2"/>
  <c r="C17" i="2"/>
  <c r="B17" i="2"/>
  <c r="A17" i="2"/>
  <c r="N16" i="2"/>
  <c r="M16" i="2"/>
  <c r="L16" i="2"/>
  <c r="K16" i="2"/>
  <c r="J16" i="2"/>
  <c r="I16" i="2"/>
  <c r="H16" i="2"/>
  <c r="G16" i="2"/>
  <c r="F16" i="2"/>
  <c r="E16" i="2"/>
  <c r="D16" i="2"/>
  <c r="C16" i="2"/>
  <c r="B16" i="2"/>
  <c r="A16" i="2"/>
  <c r="N15" i="2"/>
  <c r="M15" i="2"/>
  <c r="L15" i="2"/>
  <c r="K15" i="2"/>
  <c r="J15" i="2"/>
  <c r="I15" i="2"/>
  <c r="H15" i="2"/>
  <c r="G15" i="2"/>
  <c r="F15" i="2"/>
  <c r="E15" i="2"/>
  <c r="D15" i="2"/>
  <c r="C15" i="2"/>
  <c r="B15" i="2"/>
  <c r="A15" i="2"/>
  <c r="N14" i="2"/>
  <c r="M14" i="2"/>
  <c r="L14" i="2"/>
  <c r="K14" i="2"/>
  <c r="J14" i="2"/>
  <c r="I14" i="2"/>
  <c r="H14" i="2"/>
  <c r="G14" i="2"/>
  <c r="F14" i="2"/>
  <c r="E14" i="2"/>
  <c r="D14" i="2"/>
  <c r="C14" i="2"/>
  <c r="B14" i="2"/>
  <c r="A14" i="2"/>
  <c r="N13" i="2"/>
  <c r="M13" i="2"/>
  <c r="L13" i="2"/>
  <c r="K13" i="2"/>
  <c r="J13" i="2"/>
  <c r="I13" i="2"/>
  <c r="H13" i="2"/>
  <c r="G13" i="2"/>
  <c r="F13" i="2"/>
  <c r="E13" i="2"/>
  <c r="D13" i="2"/>
  <c r="C13" i="2"/>
  <c r="B13" i="2"/>
  <c r="A13" i="2"/>
  <c r="N12" i="2"/>
  <c r="M12" i="2"/>
  <c r="L12" i="2"/>
  <c r="K12" i="2"/>
  <c r="J12" i="2"/>
  <c r="I12" i="2"/>
  <c r="H12" i="2"/>
  <c r="G12" i="2"/>
  <c r="F12" i="2"/>
  <c r="E12" i="2"/>
  <c r="D12" i="2"/>
  <c r="C12" i="2"/>
  <c r="B12" i="2"/>
  <c r="A12" i="2"/>
  <c r="N11" i="2"/>
  <c r="M11" i="2"/>
  <c r="L11" i="2"/>
  <c r="K11" i="2"/>
  <c r="J11" i="2"/>
  <c r="I11" i="2"/>
  <c r="H11" i="2"/>
  <c r="G11" i="2"/>
  <c r="F11" i="2"/>
  <c r="E11" i="2"/>
  <c r="D11" i="2"/>
  <c r="C11" i="2"/>
  <c r="B11" i="2"/>
  <c r="A11" i="2"/>
  <c r="N10" i="2"/>
  <c r="M10" i="2"/>
  <c r="L10" i="2"/>
  <c r="K10" i="2"/>
  <c r="J10" i="2"/>
  <c r="I10" i="2"/>
  <c r="H10" i="2"/>
  <c r="G10" i="2"/>
  <c r="F10" i="2"/>
  <c r="E10" i="2"/>
  <c r="D10" i="2"/>
  <c r="C10" i="2"/>
  <c r="B10" i="2"/>
  <c r="A10" i="2"/>
  <c r="N9" i="2"/>
  <c r="M9" i="2"/>
  <c r="L9" i="2"/>
  <c r="K9" i="2"/>
  <c r="J9" i="2"/>
  <c r="I9" i="2"/>
  <c r="H9" i="2"/>
  <c r="G9" i="2"/>
  <c r="F9" i="2"/>
  <c r="E9" i="2"/>
  <c r="D9" i="2"/>
  <c r="C9" i="2"/>
  <c r="B9" i="2"/>
  <c r="A9" i="2"/>
  <c r="N8" i="2"/>
  <c r="M8" i="2"/>
  <c r="L8" i="2"/>
  <c r="K8" i="2"/>
  <c r="J8" i="2"/>
  <c r="I8" i="2"/>
  <c r="H8" i="2"/>
  <c r="G8" i="2"/>
  <c r="F8" i="2"/>
  <c r="E8" i="2"/>
  <c r="D8" i="2"/>
  <c r="C8" i="2"/>
  <c r="B8" i="2"/>
  <c r="A8" i="2"/>
  <c r="N7" i="2"/>
  <c r="M7" i="2"/>
  <c r="L7" i="2"/>
  <c r="K7" i="2"/>
  <c r="J7" i="2"/>
  <c r="I7" i="2"/>
  <c r="H7" i="2"/>
  <c r="G7" i="2"/>
  <c r="F7" i="2"/>
  <c r="E7" i="2"/>
  <c r="D7" i="2"/>
  <c r="C7" i="2"/>
  <c r="B7" i="2"/>
  <c r="A7" i="2"/>
  <c r="N6" i="2"/>
  <c r="M6" i="2"/>
  <c r="L6" i="2"/>
  <c r="K6" i="2"/>
  <c r="J6" i="2"/>
  <c r="I6" i="2"/>
  <c r="H6" i="2"/>
  <c r="G6" i="2"/>
  <c r="F6" i="2"/>
  <c r="E6" i="2"/>
  <c r="D6" i="2"/>
  <c r="C6" i="2"/>
  <c r="B6" i="2"/>
  <c r="A6" i="2"/>
  <c r="N5" i="2"/>
  <c r="M5" i="2"/>
  <c r="L5" i="2"/>
  <c r="K5" i="2"/>
  <c r="J5" i="2"/>
  <c r="I5" i="2"/>
  <c r="H5" i="2"/>
  <c r="G5" i="2"/>
  <c r="F5" i="2"/>
  <c r="E5" i="2"/>
  <c r="D5" i="2"/>
  <c r="C5" i="2"/>
  <c r="B5" i="2"/>
  <c r="A5" i="2"/>
  <c r="N108" i="2" l="1"/>
  <c r="N106" i="2" a="1"/>
  <c r="N106" i="2" s="1"/>
  <c r="N107" i="2"/>
  <c r="M108" i="2"/>
  <c r="M106" i="2" a="1"/>
  <c r="M106" i="2" s="1"/>
  <c r="M107" i="2"/>
  <c r="L108" i="2"/>
  <c r="L106" i="2" a="1"/>
  <c r="L106" i="2" s="1"/>
  <c r="L107" i="2"/>
  <c r="K108" i="2"/>
  <c r="K106" i="2" a="1"/>
  <c r="K106" i="2" s="1"/>
  <c r="K107" i="2"/>
  <c r="J108" i="2"/>
  <c r="J106" i="2" a="1"/>
  <c r="J106" i="2" s="1"/>
  <c r="J107" i="2"/>
  <c r="I108" i="2"/>
  <c r="I106" i="2" a="1"/>
  <c r="I106" i="2" s="1"/>
  <c r="I107" i="2"/>
  <c r="H107" i="2"/>
  <c r="H108" i="2"/>
  <c r="H106" i="2" a="1"/>
  <c r="H106" i="2" s="1"/>
  <c r="G107" i="2"/>
  <c r="G108" i="2"/>
  <c r="G106" i="2" a="1"/>
  <c r="G106" i="2" s="1"/>
  <c r="F107" i="2"/>
  <c r="F108" i="2"/>
  <c r="F106" i="2" a="1"/>
  <c r="F106" i="2" s="1"/>
  <c r="E107" i="2"/>
  <c r="E108" i="2"/>
  <c r="E106" i="2" a="1"/>
  <c r="E106" i="2" s="1"/>
  <c r="D107" i="2"/>
  <c r="D108" i="2"/>
  <c r="D106" i="2" a="1"/>
  <c r="D106" i="2" s="1"/>
  <c r="C107" i="2"/>
  <c r="C108" i="2"/>
  <c r="C106" i="2" a="1"/>
  <c r="C10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4" authorId="0" shapeId="0" xr:uid="{00000000-0006-0000-0000-000001000000}">
      <text>
        <r>
          <rPr>
            <sz val="11"/>
            <color theme="1"/>
            <rFont val="Calibri"/>
            <family val="2"/>
          </rPr>
          <t>Microsoft Office User:
1=Jul, 2=Aug, 3=Sep, 4=Oct, 5=Nov, 6=Dec, 7=Jan, 8=Feb, 9=Mar, 10=Apr, 11=May, 12=Jun. Use Start/End for continuous activities.</t>
        </r>
      </text>
    </comment>
    <comment ref="D4" authorId="0" shapeId="0" xr:uid="{00000000-0006-0000-0000-000002000000}">
      <text>
        <r>
          <rPr>
            <sz val="11"/>
            <color theme="1"/>
            <rFont val="Calibri"/>
            <family val="2"/>
          </rPr>
          <t>Microsoft Office User:
1=Jul, 2=Aug, 3=Sep, 4=Oct, 5=Nov, 6=Dec, 7=Jan, 8=Feb, 9=Mar, 10=Apr, 11=May, 12=Jun. Use Start/End for continuous activities.</t>
        </r>
      </text>
    </comment>
    <comment ref="E4" authorId="0" shapeId="0" xr:uid="{00000000-0006-0000-0000-000003000000}">
      <text>
        <r>
          <rPr>
            <sz val="11"/>
            <color theme="1"/>
            <rFont val="Calibri"/>
            <family val="2"/>
          </rPr>
          <t>Microsoft Office User:
For non-contiguous activities. Type comma-separated month numbers, e.g. "8,10,1,3" for Aug, Oct, Jan, Mar. If filled in, this OVERRIDES Start/End. Leave blank for continuous activities.</t>
        </r>
      </text>
    </comment>
    <comment ref="F4" authorId="0" shapeId="0" xr:uid="{00000000-0006-0000-0000-000004000000}">
      <text>
        <r>
          <rPr>
            <sz val="11"/>
            <color theme="1"/>
            <rFont val="Calibri"/>
            <family val="2"/>
          </rPr>
          <t>Microsoft Office User:
1=Light, 2=Moderate, 3=Heavy, 4=Peak. Used for Load row totals.</t>
        </r>
      </text>
    </comment>
    <comment ref="G4" authorId="0" shapeId="0" xr:uid="{00000000-0006-0000-0000-000005000000}">
      <text>
        <r>
          <rPr>
            <sz val="11"/>
            <color theme="1"/>
            <rFont val="Calibri"/>
            <family val="2"/>
          </rPr>
          <t>Microsoft Office User:
Yes for one-day events / hard deadlines. Milestones don't count toward Load totals.</t>
        </r>
      </text>
    </comment>
  </commentList>
</comments>
</file>

<file path=xl/sharedStrings.xml><?xml version="1.0" encoding="utf-8"?>
<sst xmlns="http://schemas.openxmlformats.org/spreadsheetml/2006/main" count="278" uniqueCount="162">
  <si>
    <t>CTE – Linked Learning · Activities</t>
  </si>
  <si>
    <t>Edit this tab to update the Gantt automatically. Fill in Start/End for continuous activities, OR Custom months (e.g. "8,10,1,3") for irregular ones.</t>
  </si>
  <si>
    <t>Workstream</t>
  </si>
  <si>
    <t>Activity</t>
  </si>
  <si>
    <t>Start month</t>
  </si>
  <si>
    <t>End month</t>
  </si>
  <si>
    <t>Custom months</t>
  </si>
  <si>
    <t>Effort (1–4)</t>
  </si>
  <si>
    <t>Milestone?</t>
  </si>
  <si>
    <t>Who</t>
  </si>
  <si>
    <t>Notes</t>
  </si>
  <si>
    <t>Link</t>
  </si>
  <si>
    <t>CTE – Linked Learning · Team Capacity Gantt</t>
  </si>
  <si>
    <t>2026–27 school year  ·  Auto-rendered from the Activities tab. Edit there to update this view.</t>
  </si>
  <si>
    <t>Jul</t>
  </si>
  <si>
    <t>Aug</t>
  </si>
  <si>
    <t>Sep</t>
  </si>
  <si>
    <t>Oct</t>
  </si>
  <si>
    <t>Nov</t>
  </si>
  <si>
    <t>Dec</t>
  </si>
  <si>
    <t>Jan</t>
  </si>
  <si>
    <t>Feb</t>
  </si>
  <si>
    <t>Mar</t>
  </si>
  <si>
    <t>Apr</t>
  </si>
  <si>
    <t>May</t>
  </si>
  <si>
    <t>Jun</t>
  </si>
  <si>
    <t>Coaches</t>
  </si>
  <si>
    <t>Effort load: Coaches + Both</t>
  </si>
  <si>
    <t>Coordinators</t>
  </si>
  <si>
    <t>Effort load: Coordinators + Both</t>
  </si>
  <si>
    <t>Overall</t>
  </si>
  <si>
    <t>Effort load: Coaches + Coordinators + Both</t>
  </si>
  <si>
    <t>How to use this workbook</t>
  </si>
  <si>
    <t>To add an activity:</t>
  </si>
  <si>
    <t>Go to the Activities tab, scroll to the first empty row, and fill in Workstream, Activity, then EITHER Start month + End month (for continuous activities) OR Custom months (for irregular ones). Then add Effort and Milestone. The Gantt updates automatically.</t>
  </si>
  <si>
    <t>Continuous vs. irregular activities:</t>
  </si>
  <si>
    <t>If an activity runs continuously (e.g., Aug through Dec), use Start month and End month. If an activity happens at irregular intervals (e.g., Aug, Oct, Jan, and Mar), leave Start/End blank and type "8,10,1,3" in the Custom months column. Custom months overrides Start/End if both are filled.</t>
  </si>
  <si>
    <t>To remove an activity:</t>
  </si>
  <si>
    <t>Delete the row contents on the Activities tab. The Gantt bar disappears.</t>
  </si>
  <si>
    <t>To shift dates:</t>
  </si>
  <si>
    <t>Change the Start/End numbers, or edit the Custom months list. Bars update on the Gantt.</t>
  </si>
  <si>
    <t>Months use 1–12:</t>
  </si>
  <si>
    <t>1=Jul, 2=Aug, 3=Sep, 4=Oct, 5=Nov, 6=Dec, 7=Jan, 8=Feb, 9=Mar, 10=Apr, 11=May, 12=Jun.</t>
  </si>
  <si>
    <t>Effort levels (1–4):</t>
  </si>
  <si>
    <t>Mark 'Yes' for single-day events or hard deadlines. They appear as dark cells on the Gantt and don't count toward Load totals.</t>
  </si>
  <si>
    <t>Workstream colors:</t>
  </si>
  <si>
    <t>Workstream colors</t>
  </si>
  <si>
    <t>Effort scale</t>
  </si>
  <si>
    <t>Light</t>
  </si>
  <si>
    <t>Routine activity, minimal coordination</t>
  </si>
  <si>
    <t>Moderate</t>
  </si>
  <si>
    <t>Standard workstream with regular touchpoints</t>
  </si>
  <si>
    <t>Heavy</t>
  </si>
  <si>
    <t>Multiple deliverables, significant coordination</t>
  </si>
  <si>
    <t>Peak</t>
  </si>
  <si>
    <t>Heavy lift; multiple deadlines or events converge</t>
  </si>
  <si>
    <t>Team impacted</t>
  </si>
  <si>
    <t>🌱</t>
  </si>
  <si>
    <t>⚙️</t>
  </si>
  <si>
    <t>👥</t>
  </si>
  <si>
    <t>Both</t>
  </si>
  <si>
    <t>CTE Pathway, Scheduling &amp; Funding</t>
  </si>
  <si>
    <t>CTE master scheduling, pathway completion &amp; Elevate error review</t>
  </si>
  <si>
    <t>1,2,3,4,5,6,7,9,12</t>
  </si>
  <si>
    <t>No</t>
  </si>
  <si>
    <t>Consolidates recurring master-schedule planning, concentrator/capstone checks, and administrator/counselor follow-up.</t>
  </si>
  <si>
    <t>Unified Funding Application cycle: orientation, troubleshooting, application &amp; purchasing support</t>
  </si>
  <si>
    <t>2,3,4,7,8,9,12</t>
  </si>
  <si>
    <t>Combines application-window support, deadline follow-up, budget alignment, and award purchasing support.</t>
  </si>
  <si>
    <t>GSPP planning, implementation &amp; spending support</t>
  </si>
  <si>
    <t>3,5,6,7,8,9,11,12</t>
  </si>
  <si>
    <t>Includes PD, implementation coaching, goal progress, and spending support.</t>
  </si>
  <si>
    <t>Course equivalencies development</t>
  </si>
  <si>
    <t>Equitably assigned course-equivalency work.</t>
  </si>
  <si>
    <t>Instructional Design, PBL &amp; Defenses</t>
  </si>
  <si>
    <t>PBL/HQIM annual planning, pilot reflection &amp; improvement design</t>
  </si>
  <si>
    <t>Consolidates pilot reflection, theory of action, and annual instructional planning.</t>
  </si>
  <si>
    <t>PBL/HQIM school-site coaching and professional learning</t>
  </si>
  <si>
    <t>Core instructional coaching and PD at school sites.</t>
  </si>
  <si>
    <t>Linked Learning onboarding / August PBL professional learning</t>
  </si>
  <si>
    <t>Yes</t>
  </si>
  <si>
    <t>Major August onboarding/PBL event; shown on Gantt but excluded from capacity totals as a milestone.</t>
  </si>
  <si>
    <t>PBL 101 / fall instructional training</t>
  </si>
  <si>
    <t>October PBL 101 and related fall instructional training.</t>
  </si>
  <si>
    <t>Defense calibration, support, feedback &amp; reflection</t>
  </si>
  <si>
    <t>7,8,9,11</t>
  </si>
  <si>
    <t>Combines calibration, school support, feedback, and review of defense quality/data.</t>
  </si>
  <si>
    <t>Pathway Strategy, Data &amp; Certification</t>
  </si>
  <si>
    <t>Administrator goal-setting, priorities &amp; annual data review</t>
  </si>
  <si>
    <t>1,2,12</t>
  </si>
  <si>
    <t>Annual planning and data review with administrators; includes follow-up review of school goals.</t>
  </si>
  <si>
    <t>School goal progress checks and targeted support planning</t>
  </si>
  <si>
    <t>4,5,11</t>
  </si>
  <si>
    <t>Team reviews progress, identifies patterns, and plans differentiated support.</t>
  </si>
  <si>
    <t>Linked Learning certification planning &amp; school support</t>
  </si>
  <si>
    <t>Support for schools pursuing Silver, Gold, or other Linked Learning certification milestones.</t>
  </si>
  <si>
    <t>Team data checks, accomplishments review &amp; next-year goal setting</t>
  </si>
  <si>
    <t>3,7,11,12</t>
  </si>
  <si>
    <t>Includes CTE completion, WBL, MiSiS tagging, CCR/dashboard outcomes, and year-end reflection.</t>
  </si>
  <si>
    <t>Cross-team funding review &amp; GSPP 3-year planning</t>
  </si>
  <si>
    <t>9,12</t>
  </si>
  <si>
    <t>Funding application scoring and cross-team GSPP planning.</t>
  </si>
  <si>
    <t>Professional Learning &amp; Leadership</t>
  </si>
  <si>
    <t>Linked Learning Team retreat</t>
  </si>
  <si>
    <t>Team retreat / annual launch; milestone excluded from load totals.</t>
  </si>
  <si>
    <t>Linked Learning Leaders professional learning series</t>
  </si>
  <si>
    <t>3,4,7,8,10</t>
  </si>
  <si>
    <t>Planning and facilitation of Leaders PD/workshops across the year.</t>
  </si>
  <si>
    <t>Linked Learning microcredential program</t>
  </si>
  <si>
    <t>Promotion, facilitation, support-provider coordination, and participant support across the annual cycle.</t>
  </si>
  <si>
    <t>Administrator Linked Learning information sessions</t>
  </si>
  <si>
    <t>July–September information sessions for school administrators.</t>
  </si>
  <si>
    <t>LL Conference, Showcase &amp; recognition activities</t>
  </si>
  <si>
    <t>4,9,10</t>
  </si>
  <si>
    <t>Includes conference, CTE-Linked Learning Showcase, and leader/student recognition work.</t>
  </si>
  <si>
    <t>Department planning, team committees &amp; cross-functional coordination</t>
  </si>
  <si>
    <t>Recurring department planning and internal committee work.</t>
  </si>
  <si>
    <t>School Redesign Grant demonstration site visits</t>
  </si>
  <si>
    <t>3,5,9</t>
  </si>
  <si>
    <t>Demonstration site visits for Linked Learning Leads; milestone dates shown but excluded from capacity totals.</t>
  </si>
  <si>
    <t>WBL Planning, Partnerships &amp; Career Exposure</t>
  </si>
  <si>
    <t>Annual WBL plan, priorities, checkpoints &amp; year-end reflection</t>
  </si>
  <si>
    <t>1,3,7,9,11,12</t>
  </si>
  <si>
    <t>Combines annual planning, school checkpoints, next-year visioning, and reflection.</t>
  </si>
  <si>
    <t>Employer/community partner outreach &amp; industry partnership development</t>
  </si>
  <si>
    <t>Ongoing employer outreach, onboarding, relationship development, and industry mapping.</t>
  </si>
  <si>
    <t>Career Days, college/career fairs &amp; pathway event planning/support</t>
  </si>
  <si>
    <t>Major event-planning responsibility including industry partner recruitment and school support.</t>
  </si>
  <si>
    <t>WBL connections for PBL and classroom learning</t>
  </si>
  <si>
    <t>Industry speakers, partners, and career-connected experiences that support PBL units.</t>
  </si>
  <si>
    <t>Internships &amp; Work Readiness</t>
  </si>
  <si>
    <t>School-site work readiness implementation support</t>
  </si>
  <si>
    <t>Ongoing support for school implementation of work-readiness systems and student preparation.</t>
  </si>
  <si>
    <t>Work readiness PD, workshops &amp; orientations</t>
  </si>
  <si>
    <t>3,4,5</t>
  </si>
  <si>
    <t>Staff/student-facing work readiness training, career-readiness workshops, and orientations.</t>
  </si>
  <si>
    <t>Student outreach, recruitment, applications, matching &amp; placement</t>
  </si>
  <si>
    <t>Consolidates student marketing/recruitment, applications, matching, interviews, and placement.</t>
  </si>
  <si>
    <t>Intern and worksite supervisor training/onboarding</t>
  </si>
  <si>
    <t>Pre-placement and ongoing training for interns and worksite supervisors.</t>
  </si>
  <si>
    <t>Internship administration: timesheets, check-ins &amp; ongoing support</t>
  </si>
  <si>
    <t>Recurring timesheet processing and intern/worksite supervisor check-ins throughout placements.</t>
  </si>
  <si>
    <t>Teacher-led internship program support</t>
  </si>
  <si>
    <t>Support for school-based/teacher-led internship programs beyond centrally managed placements.</t>
  </si>
  <si>
    <t>Internship closeout &amp; program reflection</t>
  </si>
  <si>
    <t>End-of-program closeout meetings and reflection with students/employers.</t>
  </si>
  <si>
    <t>Parent/student information &amp; campus outreach</t>
  </si>
  <si>
    <t>Information sessions, student/campus marketing, expectations, and communications.</t>
  </si>
  <si>
    <t>IRC / Workplace Readiness Badge implementation</t>
  </si>
  <si>
    <t>Support for industry-recognized and workplace-readiness credentials tied to internship readiness.</t>
  </si>
  <si>
    <t>WBL Operations, Logistics &amp; Reporting</t>
  </si>
  <si>
    <t>Field trip coordination, transportation &amp; documentation logistics</t>
  </si>
  <si>
    <t>Bus requests, approvals, documentation, follow-up, and trip logistics.</t>
  </si>
  <si>
    <t>Purchasing &amp; procurement support</t>
  </si>
  <si>
    <t>Quotes, purchase requests, purchase-order follow-up, and procurement troubleshooting.</t>
  </si>
  <si>
    <t>MiSiS/WBL data systems, reporting, compliance &amp; training</t>
  </si>
  <si>
    <t>MiSiS/WBL systems, rosters, reporting, compliance documentation, and scheduled trainings.</t>
  </si>
  <si>
    <t>Summer Bridge program support</t>
  </si>
  <si>
    <t>Recurring summer program support; scope varies by year.</t>
  </si>
  <si>
    <t>1=Light, 2=Moderate, 3=Heavy, 4=Peak. Active Gantt cells show effort as dots under the activity name. The bottom rows separately total effort for Coaches, Coordinators, and Overall by month. Milestones are shown on the Gantt but are excluded from Load totals.</t>
  </si>
  <si>
    <t>The seven workstreams separate the major coach, coordinator, and shared bodies of work so overlaps are easier to interpret.</t>
  </si>
  <si>
    <t>11,12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</si>
</sst>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6">
    <font>
      <sz val="11"/>
      <color theme="1"/>
      <name val="Calibri"/>
    </font>
    <font>
      <sz val="10"/>
      <name val="Arial"/>
      <family val="2"/>
    </font>
    <font>
      <sz val="11"/>
      <color theme="10"/>
      <name val="Calibri"/>
      <family val="2"/>
    </font>
    <font>
      <b/>
      <sz val="18"/>
      <color rgb="FF00237A"/>
      <name val="Poppins Regular"/>
    </font>
    <font>
      <sz val="11"/>
      <color theme="1"/>
      <name val="Poppins Regular"/>
    </font>
    <font>
      <i/>
      <sz val="11"/>
      <color rgb="FF64748B"/>
      <name val="Poppins Regular"/>
    </font>
    <font>
      <b/>
      <sz val="14"/>
      <color rgb="FFFFFFFF"/>
      <name val="Poppins Regular"/>
    </font>
    <font>
      <sz val="14"/>
      <color theme="1"/>
      <name val="Poppins Regular"/>
    </font>
    <font>
      <b/>
      <sz val="12"/>
      <color rgb="FF1E293B"/>
      <name val="Poppins Regular"/>
    </font>
    <font>
      <b/>
      <sz val="9"/>
      <color rgb="FF1E293B"/>
      <name val="Poppins Regular"/>
    </font>
    <font>
      <sz val="9"/>
      <color rgb="FF1E293B"/>
      <name val="Poppins Regular"/>
    </font>
    <font>
      <sz val="9"/>
      <color theme="1"/>
      <name val="Poppins Regular"/>
    </font>
    <font>
      <b/>
      <sz val="9"/>
      <color theme="1"/>
      <name val="Poppins Regular"/>
    </font>
    <font>
      <sz val="12"/>
      <color theme="1"/>
      <name val="Poppins Regular"/>
    </font>
    <font>
      <b/>
      <sz val="12"/>
      <color theme="1"/>
      <name val="Poppins Regular"/>
    </font>
    <font>
      <b/>
      <sz val="11"/>
      <color rgb="FFFFFFFF"/>
      <name val="Poppins Regular"/>
    </font>
    <font>
      <sz val="11"/>
      <color rgb="FF1E293B"/>
      <name val="Poppins Regular"/>
    </font>
    <font>
      <sz val="11"/>
      <color theme="10"/>
      <name val="Poppins Regular"/>
    </font>
    <font>
      <sz val="11"/>
      <color rgb="FFFF0000"/>
      <name val="Poppins Regular"/>
    </font>
    <font>
      <b/>
      <sz val="12"/>
      <color rgb="FF712B13"/>
      <name val="Poppins Regular"/>
    </font>
    <font>
      <b/>
      <sz val="12"/>
      <color rgb="FF633806"/>
      <name val="Poppins Regular"/>
    </font>
    <font>
      <b/>
      <sz val="12"/>
      <color rgb="FF00237A"/>
      <name val="Poppins Regular"/>
    </font>
    <font>
      <b/>
      <sz val="14"/>
      <color rgb="FF00237A"/>
      <name val="Poppins Regular"/>
    </font>
    <font>
      <b/>
      <sz val="11"/>
      <color rgb="FF0C447C"/>
      <name val="Poppins Regular"/>
    </font>
    <font>
      <b/>
      <sz val="11"/>
      <color rgb="FF3C3489"/>
      <name val="Poppins Regular"/>
    </font>
    <font>
      <b/>
      <sz val="11"/>
      <color rgb="FF444441"/>
      <name val="Poppins Regular"/>
    </font>
    <font>
      <b/>
      <sz val="11"/>
      <color rgb="FF72243E"/>
      <name val="Poppins Regular"/>
    </font>
    <font>
      <b/>
      <sz val="11"/>
      <color rgb="FF085041"/>
      <name val="Poppins Regular"/>
    </font>
    <font>
      <b/>
      <sz val="11"/>
      <color rgb="FF712B13"/>
      <name val="Poppins Regular"/>
    </font>
    <font>
      <b/>
      <sz val="11"/>
      <color rgb="FF633806"/>
      <name val="Poppins Regular"/>
    </font>
    <font>
      <b/>
      <sz val="12"/>
      <color rgb="FF27500A"/>
      <name val="Poppins Regular"/>
    </font>
    <font>
      <b/>
      <sz val="11"/>
      <color rgb="FF27500A"/>
      <name val="Poppins Regular"/>
    </font>
    <font>
      <b/>
      <sz val="12"/>
      <color rgb="FF501313"/>
      <name val="Poppins Regular"/>
    </font>
    <font>
      <b/>
      <sz val="11"/>
      <color rgb="FF501313"/>
      <name val="Poppins Regular"/>
    </font>
    <font>
      <sz val="9"/>
      <color theme="10"/>
      <name val="Poppins Regular"/>
    </font>
    <font>
      <sz val="11"/>
      <color theme="1"/>
      <name val="Calibri"/>
      <family val="2"/>
    </font>
  </fonts>
  <fills count="22">
    <fill>
      <patternFill patternType="none"/>
    </fill>
    <fill>
      <patternFill patternType="gray125"/>
    </fill>
    <fill>
      <patternFill patternType="solid">
        <fgColor rgb="FF00237A"/>
      </patternFill>
    </fill>
    <fill>
      <patternFill patternType="solid">
        <fgColor rgb="FFFFFFFF"/>
      </patternFill>
    </fill>
    <fill>
      <patternFill patternType="solid">
        <fgColor rgb="FFFAFAFC"/>
      </patternFill>
    </fill>
    <fill>
      <patternFill patternType="solid">
        <fgColor rgb="FFF5F6FA"/>
      </patternFill>
    </fill>
    <fill>
      <patternFill patternType="solid">
        <fgColor rgb="FFE6F1FB"/>
      </patternFill>
    </fill>
    <fill>
      <patternFill patternType="solid">
        <fgColor rgb="FFE1F5EE"/>
      </patternFill>
    </fill>
    <fill>
      <patternFill patternType="solid">
        <fgColor rgb="FFFAEEDA"/>
      </patternFill>
    </fill>
    <fill>
      <patternFill patternType="solid">
        <fgColor rgb="FFEEEDFE"/>
      </patternFill>
    </fill>
    <fill>
      <patternFill patternType="solid">
        <fgColor rgb="FFF1EFE8"/>
      </patternFill>
    </fill>
    <fill>
      <patternFill patternType="solid">
        <fgColor rgb="FFFAECE7"/>
      </patternFill>
    </fill>
    <fill>
      <patternFill patternType="solid">
        <fgColor rgb="FFFBEAF0"/>
      </patternFill>
    </fill>
    <fill>
      <patternFill patternType="solid">
        <fgColor rgb="FFEAF3DE"/>
      </patternFill>
    </fill>
    <fill>
      <patternFill patternType="solid">
        <fgColor rgb="FFFCEBEE"/>
      </patternFill>
    </fill>
    <fill>
      <patternFill patternType="solid">
        <fgColor rgb="FFDCEAF7"/>
      </patternFill>
    </fill>
    <fill>
      <patternFill patternType="solid">
        <fgColor rgb="FFE7E2F6"/>
      </patternFill>
    </fill>
    <fill>
      <patternFill patternType="solid">
        <fgColor rgb="FFE7E7E4"/>
      </patternFill>
    </fill>
    <fill>
      <patternFill patternType="solid">
        <fgColor rgb="FFF2E2EA"/>
      </patternFill>
    </fill>
    <fill>
      <patternFill patternType="solid">
        <fgColor rgb="FFDDEFE6"/>
      </patternFill>
    </fill>
    <fill>
      <patternFill patternType="solid">
        <fgColor rgb="FFF5E2D8"/>
      </patternFill>
    </fill>
    <fill>
      <patternFill patternType="solid">
        <fgColor rgb="FFF5E9C8"/>
      </patternFill>
    </fill>
  </fills>
  <borders count="2">
    <border>
      <left/>
      <right/>
      <top/>
      <bottom/>
      <diagonal/>
    </border>
    <border>
      <left style="thin">
        <color rgb="FFE8EAF0"/>
      </left>
      <right style="thin">
        <color rgb="FFE8EAF0"/>
      </right>
      <top style="thin">
        <color rgb="FFE8EAF0"/>
      </top>
      <bottom style="thin">
        <color rgb="FFE8EAF0"/>
      </bottom>
      <diagonal/>
    </border>
  </borders>
  <cellStyleXfs count="7">
    <xf numFmtId="0" fontId="0" fillId="0" borderId="0"/>
    <xf numFmtId="43" fontId="1" fillId="0" borderId="0"/>
    <xf numFmtId="41" fontId="1" fillId="0" borderId="0"/>
    <xf numFmtId="44" fontId="1" fillId="0" borderId="0"/>
    <xf numFmtId="42" fontId="1" fillId="0" borderId="0"/>
    <xf numFmtId="9" fontId="1" fillId="0" borderId="0"/>
    <xf numFmtId="0" fontId="2" fillId="0" borderId="0"/>
  </cellStyleXfs>
  <cellXfs count="66">
    <xf numFmtId="0" fontId="0" fillId="0" borderId="0" xfId="0"/>
    <xf numFmtId="0" fontId="4" fillId="0" borderId="0" xfId="0" applyFont="1"/>
    <xf numFmtId="0" fontId="6"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7" fillId="0" borderId="0" xfId="0" applyFont="1"/>
    <xf numFmtId="0" fontId="4" fillId="0" borderId="0" xfId="0" applyFont="1" applyAlignment="1">
      <alignment horizontal="left" vertical="center" wrapText="1"/>
    </xf>
    <xf numFmtId="0" fontId="4" fillId="0" borderId="0" xfId="0" applyFont="1" applyAlignment="1">
      <alignment horizontal="left" vertical="center"/>
    </xf>
    <xf numFmtId="0" fontId="10" fillId="0" borderId="1" xfId="0" applyFont="1" applyBorder="1" applyAlignment="1">
      <alignment horizontal="left" vertical="center" wrapText="1"/>
    </xf>
    <xf numFmtId="0" fontId="11" fillId="0" borderId="0" xfId="0" applyFont="1"/>
    <xf numFmtId="0" fontId="11" fillId="0" borderId="0" xfId="0" applyFont="1" applyAlignment="1">
      <alignment horizontal="left" vertical="center" wrapText="1"/>
    </xf>
    <xf numFmtId="0" fontId="11" fillId="0" borderId="0" xfId="0" applyFont="1" applyAlignment="1">
      <alignment horizontal="left" vertical="center"/>
    </xf>
    <xf numFmtId="0" fontId="12" fillId="5" borderId="1" xfId="0" applyFont="1" applyFill="1" applyBorder="1" applyAlignment="1">
      <alignment horizontal="left" wrapText="1"/>
    </xf>
    <xf numFmtId="0" fontId="9" fillId="0" borderId="1" xfId="0" applyFont="1" applyBorder="1" applyAlignment="1">
      <alignment horizontal="left" wrapText="1"/>
    </xf>
    <xf numFmtId="0" fontId="12" fillId="0" borderId="0" xfId="0" applyFont="1" applyAlignment="1">
      <alignment horizontal="left" wrapText="1"/>
    </xf>
    <xf numFmtId="0" fontId="8" fillId="0" borderId="1" xfId="0" applyFont="1" applyBorder="1" applyAlignment="1">
      <alignment horizontal="left" vertical="center" wrapText="1"/>
    </xf>
    <xf numFmtId="0" fontId="14" fillId="0" borderId="1" xfId="0" applyFont="1" applyBorder="1" applyAlignment="1">
      <alignment horizontal="left" wrapText="1"/>
    </xf>
    <xf numFmtId="0" fontId="14" fillId="0" borderId="0" xfId="0" applyFont="1" applyAlignment="1">
      <alignment horizontal="left" wrapText="1"/>
    </xf>
    <xf numFmtId="0" fontId="6" fillId="2" borderId="1" xfId="0" applyFont="1" applyFill="1" applyBorder="1" applyAlignment="1">
      <alignment horizontal="center" vertical="center" wrapText="1"/>
    </xf>
    <xf numFmtId="0" fontId="4" fillId="0" borderId="0" xfId="0" applyFont="1" applyAlignment="1">
      <alignment wrapText="1"/>
    </xf>
    <xf numFmtId="0" fontId="15" fillId="2"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16" fillId="3" borderId="1" xfId="0" applyFont="1" applyFill="1" applyBorder="1" applyAlignment="1">
      <alignment horizontal="center" vertical="center"/>
    </xf>
    <xf numFmtId="0" fontId="17" fillId="0" borderId="0" xfId="6" applyFont="1" applyAlignment="1">
      <alignment wrapText="1"/>
    </xf>
    <xf numFmtId="0" fontId="16" fillId="4" borderId="1" xfId="0" applyFont="1" applyFill="1" applyBorder="1" applyAlignment="1">
      <alignment horizontal="left" vertical="center" wrapText="1"/>
    </xf>
    <xf numFmtId="0" fontId="16" fillId="4" borderId="1" xfId="0" applyFont="1" applyFill="1" applyBorder="1" applyAlignment="1">
      <alignment horizontal="center" vertical="center"/>
    </xf>
    <xf numFmtId="0" fontId="18" fillId="3" borderId="1" xfId="0" applyFont="1" applyFill="1" applyBorder="1" applyAlignment="1">
      <alignment horizontal="left" vertical="center" wrapText="1"/>
    </xf>
    <xf numFmtId="0" fontId="16" fillId="0" borderId="1" xfId="0" applyFont="1" applyBorder="1" applyAlignment="1">
      <alignment horizontal="center" vertical="center"/>
    </xf>
    <xf numFmtId="0" fontId="18" fillId="4" borderId="1" xfId="0" applyFont="1" applyFill="1" applyBorder="1" applyAlignment="1">
      <alignment horizontal="left" vertical="center" wrapText="1"/>
    </xf>
    <xf numFmtId="0" fontId="4" fillId="6" borderId="1" xfId="0" applyFont="1" applyFill="1" applyBorder="1" applyAlignment="1">
      <alignment wrapText="1"/>
    </xf>
    <xf numFmtId="0" fontId="4" fillId="7" borderId="1" xfId="0" applyFont="1" applyFill="1" applyBorder="1" applyAlignment="1">
      <alignment wrapText="1"/>
    </xf>
    <xf numFmtId="0" fontId="4" fillId="8" borderId="1" xfId="0" applyFont="1" applyFill="1" applyBorder="1" applyAlignment="1">
      <alignment wrapText="1"/>
    </xf>
    <xf numFmtId="0" fontId="4" fillId="9" borderId="1" xfId="0" applyFont="1" applyFill="1" applyBorder="1" applyAlignment="1">
      <alignment wrapText="1"/>
    </xf>
    <xf numFmtId="0" fontId="4" fillId="10" borderId="1" xfId="0" applyFont="1" applyFill="1" applyBorder="1" applyAlignment="1">
      <alignment wrapText="1"/>
    </xf>
    <xf numFmtId="0" fontId="4" fillId="11" borderId="1" xfId="0" applyFont="1" applyFill="1" applyBorder="1" applyAlignment="1">
      <alignment wrapText="1"/>
    </xf>
    <xf numFmtId="0" fontId="4" fillId="12" borderId="1" xfId="0" applyFont="1" applyFill="1" applyBorder="1" applyAlignment="1">
      <alignment wrapText="1"/>
    </xf>
    <xf numFmtId="0" fontId="30" fillId="13" borderId="1" xfId="0" applyFont="1" applyFill="1" applyBorder="1" applyAlignment="1">
      <alignment horizontal="center" vertical="center" wrapText="1"/>
    </xf>
    <xf numFmtId="0" fontId="31" fillId="13" borderId="0" xfId="0" applyFont="1" applyFill="1" applyAlignment="1">
      <alignment horizontal="left" vertical="center"/>
    </xf>
    <xf numFmtId="0" fontId="20" fillId="8" borderId="1" xfId="0" applyFont="1" applyFill="1" applyBorder="1" applyAlignment="1">
      <alignment horizontal="center" vertical="center" wrapText="1"/>
    </xf>
    <xf numFmtId="0" fontId="29" fillId="8" borderId="0" xfId="0" applyFont="1" applyFill="1" applyAlignment="1">
      <alignment horizontal="left" vertical="center"/>
    </xf>
    <xf numFmtId="0" fontId="19" fillId="11" borderId="1" xfId="0" applyFont="1" applyFill="1" applyBorder="1" applyAlignment="1">
      <alignment horizontal="center" vertical="center" wrapText="1"/>
    </xf>
    <xf numFmtId="0" fontId="28" fillId="11" borderId="0" xfId="0" applyFont="1" applyFill="1" applyAlignment="1">
      <alignment horizontal="left" vertical="center"/>
    </xf>
    <xf numFmtId="0" fontId="32" fillId="14" borderId="1" xfId="0" applyFont="1" applyFill="1" applyBorder="1" applyAlignment="1">
      <alignment horizontal="center" vertical="center" wrapText="1"/>
    </xf>
    <xf numFmtId="0" fontId="33" fillId="14" borderId="0" xfId="0" applyFont="1" applyFill="1" applyAlignment="1">
      <alignment horizontal="left" vertical="center"/>
    </xf>
    <xf numFmtId="0" fontId="11" fillId="0" borderId="0" xfId="0" applyFont="1" applyAlignment="1">
      <alignment wrapText="1"/>
    </xf>
    <xf numFmtId="0" fontId="34" fillId="0" borderId="0" xfId="6" applyFont="1" applyAlignment="1">
      <alignment wrapText="1"/>
    </xf>
    <xf numFmtId="0" fontId="13" fillId="0" borderId="0" xfId="0" applyFont="1" applyAlignment="1">
      <alignment wrapText="1"/>
    </xf>
    <xf numFmtId="0" fontId="3" fillId="0" borderId="0" xfId="0" applyFont="1"/>
    <xf numFmtId="0" fontId="4" fillId="0" borderId="0" xfId="0" applyFont="1"/>
    <xf numFmtId="0" fontId="5" fillId="0" borderId="0" xfId="0" applyFont="1"/>
    <xf numFmtId="0" fontId="4" fillId="0" borderId="0" xfId="0" applyFont="1" applyAlignment="1">
      <alignment horizontal="left" vertical="center" wrapText="1"/>
    </xf>
    <xf numFmtId="0" fontId="4" fillId="0" borderId="0" xfId="0" applyFont="1" applyAlignment="1">
      <alignment horizontal="left" vertical="center"/>
    </xf>
    <xf numFmtId="0" fontId="29" fillId="0" borderId="0" xfId="0" applyFont="1" applyAlignment="1">
      <alignment horizontal="left" vertical="center"/>
    </xf>
    <xf numFmtId="0" fontId="24" fillId="16" borderId="0" xfId="0" applyFont="1" applyFill="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top" wrapText="1"/>
    </xf>
    <xf numFmtId="0" fontId="22" fillId="0" borderId="0" xfId="0" applyFont="1"/>
    <xf numFmtId="0" fontId="21" fillId="0" borderId="0" xfId="0" applyFont="1"/>
    <xf numFmtId="0" fontId="29" fillId="21" borderId="0" xfId="0" applyFont="1" applyFill="1" applyAlignment="1">
      <alignment horizontal="left" vertical="center"/>
    </xf>
    <xf numFmtId="0" fontId="27" fillId="0" borderId="0" xfId="0" applyFont="1" applyAlignment="1">
      <alignment horizontal="left" vertical="center"/>
    </xf>
    <xf numFmtId="0" fontId="21" fillId="0" borderId="0" xfId="0" applyFont="1" applyAlignment="1">
      <alignment wrapText="1"/>
    </xf>
    <xf numFmtId="0" fontId="26" fillId="18" borderId="0" xfId="0" applyFont="1" applyFill="1" applyAlignment="1">
      <alignment horizontal="left" vertical="center"/>
    </xf>
    <xf numFmtId="0" fontId="23" fillId="0" borderId="0" xfId="0" applyFont="1" applyAlignment="1">
      <alignment horizontal="left" vertical="center"/>
    </xf>
    <xf numFmtId="0" fontId="23" fillId="15" borderId="0" xfId="0" applyFont="1" applyFill="1" applyAlignment="1">
      <alignment horizontal="left" vertical="center"/>
    </xf>
    <xf numFmtId="0" fontId="28" fillId="20" borderId="0" xfId="0" applyFont="1" applyFill="1" applyAlignment="1">
      <alignment horizontal="left" vertical="center"/>
    </xf>
    <xf numFmtId="0" fontId="25" fillId="17" borderId="0" xfId="0" applyFont="1" applyFill="1" applyAlignment="1">
      <alignment horizontal="left" vertical="center"/>
    </xf>
    <xf numFmtId="0" fontId="27" fillId="19" borderId="0" xfId="0" applyFont="1" applyFill="1" applyAlignment="1">
      <alignment horizontal="left" vertical="center"/>
    </xf>
  </cellXfs>
  <cellStyles count="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Hyperlink" xfId="6" xr:uid="{00000000-0005-0000-0000-000004000000}"/>
    <cellStyle name="Normal" xfId="0" builtinId="0"/>
    <cellStyle name="Percent" xfId="5" xr:uid="{00000000-0005-0000-0000-000006000000}"/>
  </cellStyles>
  <dxfs count="14">
    <dxf>
      <font>
        <color rgb="FF633806"/>
      </font>
      <fill>
        <patternFill patternType="solid">
          <bgColor rgb="FFF5E9C8"/>
        </patternFill>
      </fill>
    </dxf>
    <dxf>
      <font>
        <color rgb="FF712B13"/>
      </font>
      <fill>
        <patternFill patternType="solid">
          <bgColor rgb="FFF5E2D8"/>
        </patternFill>
      </fill>
    </dxf>
    <dxf>
      <font>
        <color rgb="FF085041"/>
      </font>
      <fill>
        <patternFill patternType="solid">
          <bgColor rgb="FFDDEFE6"/>
        </patternFill>
      </fill>
    </dxf>
    <dxf>
      <font>
        <color rgb="FF72243E"/>
      </font>
      <fill>
        <patternFill patternType="solid">
          <bgColor rgb="FFF2E2EA"/>
        </patternFill>
      </fill>
    </dxf>
    <dxf>
      <font>
        <color rgb="FF444441"/>
      </font>
      <fill>
        <patternFill patternType="solid">
          <bgColor rgb="FFE7E7E4"/>
        </patternFill>
      </fill>
    </dxf>
    <dxf>
      <font>
        <color rgb="FF3C3489"/>
      </font>
      <fill>
        <patternFill patternType="solid">
          <bgColor rgb="FFE7E2F6"/>
        </patternFill>
      </fill>
    </dxf>
    <dxf>
      <font>
        <color rgb="FF0C447C"/>
      </font>
      <fill>
        <patternFill patternType="solid">
          <bgColor rgb="FFDCEAF7"/>
        </patternFill>
      </fill>
    </dxf>
    <dxf>
      <font>
        <b/>
        <color rgb="FF633806"/>
      </font>
      <fill>
        <patternFill patternType="solid">
          <bgColor rgb="FFF5E9C8"/>
        </patternFill>
      </fill>
    </dxf>
    <dxf>
      <font>
        <b/>
        <color rgb="FF712B13"/>
      </font>
      <fill>
        <patternFill patternType="solid">
          <bgColor rgb="FFF5E2D8"/>
        </patternFill>
      </fill>
    </dxf>
    <dxf>
      <font>
        <b/>
        <color rgb="FF085041"/>
      </font>
      <fill>
        <patternFill patternType="solid">
          <bgColor rgb="FFDDEFE6"/>
        </patternFill>
      </fill>
    </dxf>
    <dxf>
      <font>
        <b/>
        <color rgb="FF72243E"/>
      </font>
      <fill>
        <patternFill patternType="solid">
          <bgColor rgb="FFF2E2EA"/>
        </patternFill>
      </fill>
    </dxf>
    <dxf>
      <font>
        <b/>
        <color rgb="FF444441"/>
      </font>
      <fill>
        <patternFill patternType="solid">
          <bgColor rgb="FFE7E7E4"/>
        </patternFill>
      </fill>
    </dxf>
    <dxf>
      <font>
        <b/>
        <color rgb="FF3C3489"/>
      </font>
      <fill>
        <patternFill patternType="solid">
          <bgColor rgb="FFE7E2F6"/>
        </patternFill>
      </fill>
    </dxf>
    <dxf>
      <font>
        <b/>
        <color rgb="FF0C447C"/>
      </font>
      <fill>
        <patternFill patternType="solid">
          <bgColor rgb="FFDCEAF7"/>
        </patternFill>
      </fill>
    </dxf>
  </dxfs>
  <tableStyles count="0" defaultTableStyle="TableStyleMedium2" defaultPivotStyle="PivotStyleLight16"/>
  <colors>
    <indexedColors>
      <rgbColor rgb="FF000000"/>
      <rgbColor rgb="FFFFFFFF"/>
      <rgbColor rgb="FFFF0000"/>
      <rgbColor rgb="FF00FF00"/>
      <rgbColor rgb="FF0000FF"/>
      <rgbColor rgb="FFFAFAFC"/>
      <rgbColor rgb="FFFF00FF"/>
      <rgbColor rgb="FF00FFFF"/>
      <rgbColor rgb="FF501313"/>
      <rgbColor rgb="FF008000"/>
      <rgbColor rgb="FF000080"/>
      <rgbColor rgb="FF808000"/>
      <rgbColor rgb="FF800080"/>
      <rgbColor rgb="FF008080"/>
      <rgbColor rgb="FFF1EFE8"/>
      <rgbColor rgb="FF808080"/>
      <rgbColor rgb="FF9999FF"/>
      <rgbColor rgb="FF72243E"/>
      <rgbColor rgb="FFFAEEDA"/>
      <rgbColor rgb="FFE1F5EE"/>
      <rgbColor rgb="FF444441"/>
      <rgbColor rgb="FFFF8080"/>
      <rgbColor rgb="FF0C447C"/>
      <rgbColor rgb="FFE8EAF0"/>
      <rgbColor rgb="FF000080"/>
      <rgbColor rgb="FFFF00FF"/>
      <rgbColor rgb="FFFFFF00"/>
      <rgbColor rgb="FF00FFFF"/>
      <rgbColor rgb="FF800080"/>
      <rgbColor rgb="FF800000"/>
      <rgbColor rgb="FF008080"/>
      <rgbColor rgb="FF0000FF"/>
      <rgbColor rgb="FF00CCFF"/>
      <rgbColor rgb="FFE6F1FB"/>
      <rgbColor rgb="FFEAF3DE"/>
      <rgbColor rgb="FFFAECE7"/>
      <rgbColor rgb="FFEEEDFE"/>
      <rgbColor rgb="FFFBEAF0"/>
      <rgbColor rgb="FFF5F6FA"/>
      <rgbColor rgb="FFFCEBEE"/>
      <rgbColor rgb="FF3366FF"/>
      <rgbColor rgb="FF33CCCC"/>
      <rgbColor rgb="FF99CC00"/>
      <rgbColor rgb="FFFFCC00"/>
      <rgbColor rgb="FFFF9900"/>
      <rgbColor rgb="FFFF6600"/>
      <rgbColor rgb="FF64748B"/>
      <rgbColor rgb="FF969696"/>
      <rgbColor rgb="FF00237A"/>
      <rgbColor rgb="FF339966"/>
      <rgbColor rgb="FF085041"/>
      <rgbColor rgb="FF27500A"/>
      <rgbColor rgb="FF712B13"/>
      <rgbColor rgb="FF633806"/>
      <rgbColor rgb="FF3C3489"/>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203200</xdr:colOff>
      <xdr:row>28</xdr:row>
      <xdr:rowOff>228600</xdr:rowOff>
    </xdr:to>
    <xdr:sp macro="" textlink="">
      <xdr:nvSpPr>
        <xdr:cNvPr id="1030" name="Text Box 6" hidden="1">
          <a:extLst>
            <a:ext uri="{FF2B5EF4-FFF2-40B4-BE49-F238E27FC236}">
              <a16:creationId xmlns:a16="http://schemas.microsoft.com/office/drawing/2014/main" id="{A481DCA2-19F8-0D6C-0DFC-0D8E41E649FA}"/>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203200</xdr:colOff>
      <xdr:row>28</xdr:row>
      <xdr:rowOff>228600</xdr:rowOff>
    </xdr:to>
    <xdr:sp macro="" textlink="">
      <xdr:nvSpPr>
        <xdr:cNvPr id="2" name="AutoShape 6">
          <a:extLst>
            <a:ext uri="{FF2B5EF4-FFF2-40B4-BE49-F238E27FC236}">
              <a16:creationId xmlns:a16="http://schemas.microsoft.com/office/drawing/2014/main" id="{94AABE50-D890-3268-C324-4791B46AC92B}"/>
            </a:ext>
          </a:extLst>
        </xdr:cNvPr>
        <xdr:cNvSpPr>
          <a:spLocks noChangeArrowheads="1"/>
        </xdr:cNvSpPr>
      </xdr:nvSpPr>
      <xdr:spPr bwMode="auto">
        <a:xfrm>
          <a:off x="0" y="0"/>
          <a:ext cx="14732000" cy="16256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lausd.sharepoint.com/:w:/r/sites/itd_misis/_layouts/15/Doc.aspx?sourcedoc=%7bB4C72AAD-9328-494B-B107-1029FC253DC4%7d&amp;file=SCH%20070%200290%20Capstone%20Enrollment%20with%20no%20Prior%20Concentrator%20course%20in%20same%20Pathway.docx&amp;action=default&amp;mobileredirect=true" TargetMode="External"/><Relationship Id="rId7" Type="http://schemas.openxmlformats.org/officeDocument/2006/relationships/vmlDrawing" Target="../drawings/vmlDrawing1.vml"/><Relationship Id="rId2" Type="http://schemas.openxmlformats.org/officeDocument/2006/relationships/hyperlink" Target="https://lausd.sharepoint.com/:w:/r/sites/itd_misis/_layouts/15/Doc.aspx?sourcedoc=%7bB4C72AAD-9328-494B-B107-1029FC253DC4%7d&amp;file=SCH%20070%200290%20Capstone%20Enrollment%20with%20no%20Prior%20Concentrator%20course%20in%20same%20Pathway.docx&amp;action=default&amp;mobileredirect=true" TargetMode="External"/><Relationship Id="rId1" Type="http://schemas.openxmlformats.org/officeDocument/2006/relationships/hyperlink" Target="https://docs.google.com/document/d/1Ykh-NHN-0CNySPAw--TcHPXBpeSqfCey9460CYr9g0w/edit?usp=drive_link" TargetMode="External"/><Relationship Id="rId6" Type="http://schemas.openxmlformats.org/officeDocument/2006/relationships/drawing" Target="../drawings/drawing1.xml"/><Relationship Id="rId5" Type="http://schemas.openxmlformats.org/officeDocument/2006/relationships/hyperlink" Target="https://docs.google.com/presentation/d/1IRXy4tLtRVreYJGUQF2DkNsSBS08D6r8tbbnUNdGliY/edit?usp=sharing" TargetMode="External"/><Relationship Id="rId4" Type="http://schemas.openxmlformats.org/officeDocument/2006/relationships/hyperlink" Target="https://docs.google.com/document/d/1-jmc7z8A2RUCvaOVRxXY96vUSbBG-KtDJSHL5HhUeNk/edit?tab=t.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ausd.sharepoint.com/:w:/r/sites/itd_misis/_layouts/15/Doc.aspx?sourcedoc=%7bB4C72AAD-9328-494B-B107-1029FC253DC4%7d&amp;file=SCH%20070%200290%20Capstone%20Enrollment%20with%20no%20Prior%20Concentrator%20course%20in%20same%20Pathway.docx&amp;action=default&amp;mobileredirect=true" TargetMode="External"/><Relationship Id="rId2" Type="http://schemas.openxmlformats.org/officeDocument/2006/relationships/hyperlink" Target="https://lausd.sharepoint.com/:w:/r/sites/itd_misis/_layouts/15/Doc.aspx?sourcedoc=%7bB4C72AAD-9328-494B-B107-1029FC253DC4%7d&amp;file=SCH%20070%200290%20Capstone%20Enrollment%20with%20no%20Prior%20Concentrator%20course%20in%20same%20Pathway.docx&amp;action=default&amp;mobileredirect=true" TargetMode="External"/><Relationship Id="rId1" Type="http://schemas.openxmlformats.org/officeDocument/2006/relationships/hyperlink" Target="https://docs.google.com/document/d/1Ykh-NHN-0CNySPAw--TcHPXBpeSqfCey9460CYr9g0w/edit?usp=drive_link" TargetMode="External"/><Relationship Id="rId6" Type="http://schemas.openxmlformats.org/officeDocument/2006/relationships/hyperlink" Target="https://docs.google.com/presentation/d/1IRXy4tLtRVreYJGUQF2DkNsSBS08D6r8tbbnUNdGliY/edit?usp=sharing" TargetMode="External"/><Relationship Id="rId5" Type="http://schemas.openxmlformats.org/officeDocument/2006/relationships/hyperlink" Target="https://docs.google.com/document/d/1-jmc7z8A2RUCvaOVRxXY96vUSbBG-KtDJSHL5HhUeNk/edit?tab=t.0" TargetMode="External"/><Relationship Id="rId4" Type="http://schemas.openxmlformats.org/officeDocument/2006/relationships/hyperlink" Target="https://lausd.sharepoint.com/:w:/r/sites/itd_misis/_layouts/15/Doc.aspx?sourcedoc=%7bB4C72AAD-9328-494B-B107-1029FC253DC4%7d&amp;file=SCH%20070%200290%20Capstone%20Enrollment%20with%20no%20Prior%20Concentrator%20course%20in%20same%20Pathway.docx&amp;action=default&amp;mobileredirect=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tabSelected="1" workbookViewId="0">
      <selection activeCell="E10" sqref="E10"/>
    </sheetView>
  </sheetViews>
  <sheetFormatPr baseColWidth="10" defaultColWidth="8.6640625" defaultRowHeight="18"/>
  <cols>
    <col min="1" max="1" width="32" style="1" customWidth="1"/>
    <col min="2" max="2" width="41" style="18" customWidth="1"/>
    <col min="3" max="4" width="11" style="1" customWidth="1"/>
    <col min="5" max="5" width="16" style="1" customWidth="1"/>
    <col min="6" max="7" width="12" style="1" customWidth="1"/>
    <col min="8" max="8" width="13.1640625" style="1" customWidth="1"/>
    <col min="9" max="9" width="42.5" style="1" customWidth="1"/>
    <col min="10" max="10" width="83.33203125" style="18" customWidth="1"/>
    <col min="11" max="16384" width="8.6640625" style="1"/>
  </cols>
  <sheetData>
    <row r="1" spans="1:10" ht="29">
      <c r="A1" s="46" t="s">
        <v>0</v>
      </c>
      <c r="B1" s="47"/>
      <c r="C1" s="47"/>
      <c r="D1" s="47"/>
      <c r="E1" s="47"/>
      <c r="F1" s="47"/>
      <c r="G1" s="47"/>
      <c r="H1" s="47"/>
      <c r="I1" s="47"/>
    </row>
    <row r="2" spans="1:10">
      <c r="A2" s="48" t="s">
        <v>1</v>
      </c>
      <c r="B2" s="47"/>
      <c r="C2" s="47"/>
      <c r="D2" s="47"/>
      <c r="E2" s="47"/>
      <c r="F2" s="47"/>
      <c r="G2" s="47"/>
      <c r="H2" s="47"/>
      <c r="I2" s="47"/>
    </row>
    <row r="4" spans="1:10" ht="38">
      <c r="A4" s="19" t="s">
        <v>2</v>
      </c>
      <c r="B4" s="19" t="s">
        <v>3</v>
      </c>
      <c r="C4" s="19" t="s">
        <v>4</v>
      </c>
      <c r="D4" s="19" t="s">
        <v>5</v>
      </c>
      <c r="E4" s="19" t="s">
        <v>6</v>
      </c>
      <c r="F4" s="19" t="s">
        <v>7</v>
      </c>
      <c r="G4" s="19" t="s">
        <v>8</v>
      </c>
      <c r="H4" s="19" t="s">
        <v>9</v>
      </c>
      <c r="I4" s="19" t="s">
        <v>10</v>
      </c>
      <c r="J4" s="19" t="s">
        <v>11</v>
      </c>
    </row>
    <row r="5" spans="1:10" ht="57">
      <c r="A5" s="20" t="s">
        <v>61</v>
      </c>
      <c r="B5" s="20" t="s">
        <v>62</v>
      </c>
      <c r="C5" s="21"/>
      <c r="D5" s="21"/>
      <c r="E5" s="20" t="s">
        <v>63</v>
      </c>
      <c r="F5" s="21">
        <v>1</v>
      </c>
      <c r="G5" s="21" t="s">
        <v>64</v>
      </c>
      <c r="H5" s="21" t="s">
        <v>26</v>
      </c>
      <c r="I5" s="20" t="s">
        <v>65</v>
      </c>
      <c r="J5" s="22"/>
    </row>
    <row r="6" spans="1:10" ht="57">
      <c r="A6" s="23" t="s">
        <v>61</v>
      </c>
      <c r="B6" s="23" t="s">
        <v>66</v>
      </c>
      <c r="C6" s="24"/>
      <c r="D6" s="24"/>
      <c r="E6" s="23" t="s">
        <v>67</v>
      </c>
      <c r="F6" s="24">
        <v>2</v>
      </c>
      <c r="G6" s="24" t="s">
        <v>64</v>
      </c>
      <c r="H6" s="24" t="s">
        <v>26</v>
      </c>
      <c r="I6" s="23" t="s">
        <v>68</v>
      </c>
      <c r="J6" s="22"/>
    </row>
    <row r="7" spans="1:10" ht="38">
      <c r="A7" s="20" t="s">
        <v>61</v>
      </c>
      <c r="B7" s="20" t="s">
        <v>69</v>
      </c>
      <c r="C7" s="21"/>
      <c r="D7" s="21"/>
      <c r="E7" s="20" t="s">
        <v>70</v>
      </c>
      <c r="F7" s="21">
        <v>2</v>
      </c>
      <c r="G7" s="21" t="s">
        <v>64</v>
      </c>
      <c r="H7" s="21" t="s">
        <v>26</v>
      </c>
      <c r="I7" s="20" t="s">
        <v>71</v>
      </c>
      <c r="J7" s="22"/>
    </row>
    <row r="8" spans="1:10" ht="38">
      <c r="A8" s="23" t="s">
        <v>61</v>
      </c>
      <c r="B8" s="23" t="s">
        <v>72</v>
      </c>
      <c r="C8" s="24">
        <v>2</v>
      </c>
      <c r="D8" s="24">
        <v>5</v>
      </c>
      <c r="E8" s="23"/>
      <c r="F8" s="24">
        <v>2</v>
      </c>
      <c r="G8" s="24" t="s">
        <v>64</v>
      </c>
      <c r="H8" s="24" t="s">
        <v>26</v>
      </c>
      <c r="I8" s="23" t="s">
        <v>73</v>
      </c>
      <c r="J8" s="1"/>
    </row>
    <row r="9" spans="1:10" ht="38">
      <c r="A9" s="20" t="s">
        <v>74</v>
      </c>
      <c r="B9" s="20" t="s">
        <v>75</v>
      </c>
      <c r="C9" s="21"/>
      <c r="D9" s="21"/>
      <c r="E9" s="20" t="s">
        <v>161</v>
      </c>
      <c r="F9" s="21">
        <v>1</v>
      </c>
      <c r="G9" s="21" t="s">
        <v>64</v>
      </c>
      <c r="H9" s="21" t="s">
        <v>26</v>
      </c>
      <c r="I9" s="20" t="s">
        <v>76</v>
      </c>
      <c r="J9" s="1"/>
    </row>
    <row r="10" spans="1:10" ht="38">
      <c r="A10" s="23" t="s">
        <v>74</v>
      </c>
      <c r="B10" s="23" t="s">
        <v>77</v>
      </c>
      <c r="C10" s="24">
        <v>3</v>
      </c>
      <c r="D10" s="24">
        <v>9</v>
      </c>
      <c r="E10" s="23"/>
      <c r="F10" s="24">
        <v>3</v>
      </c>
      <c r="G10" s="24" t="s">
        <v>64</v>
      </c>
      <c r="H10" s="24" t="s">
        <v>26</v>
      </c>
      <c r="I10" s="23" t="s">
        <v>78</v>
      </c>
      <c r="J10" s="22"/>
    </row>
    <row r="11" spans="1:10" ht="57">
      <c r="A11" s="20" t="s">
        <v>74</v>
      </c>
      <c r="B11" s="20" t="s">
        <v>79</v>
      </c>
      <c r="C11" s="21">
        <v>2</v>
      </c>
      <c r="D11" s="21">
        <v>2</v>
      </c>
      <c r="E11" s="20"/>
      <c r="F11" s="21">
        <v>2</v>
      </c>
      <c r="G11" s="21" t="s">
        <v>80</v>
      </c>
      <c r="H11" s="21" t="s">
        <v>26</v>
      </c>
      <c r="I11" s="20" t="s">
        <v>81</v>
      </c>
      <c r="J11" s="22"/>
    </row>
    <row r="12" spans="1:10" ht="38">
      <c r="A12" s="23" t="s">
        <v>74</v>
      </c>
      <c r="B12" s="23" t="s">
        <v>82</v>
      </c>
      <c r="C12" s="24">
        <v>4</v>
      </c>
      <c r="D12" s="24">
        <v>4</v>
      </c>
      <c r="E12" s="23"/>
      <c r="F12" s="24">
        <v>3</v>
      </c>
      <c r="G12" s="24" t="s">
        <v>64</v>
      </c>
      <c r="H12" s="24" t="s">
        <v>26</v>
      </c>
      <c r="I12" s="23" t="s">
        <v>83</v>
      </c>
      <c r="J12" s="1"/>
    </row>
    <row r="13" spans="1:10" ht="57">
      <c r="A13" s="25" t="s">
        <v>74</v>
      </c>
      <c r="B13" s="20" t="s">
        <v>84</v>
      </c>
      <c r="C13" s="21"/>
      <c r="D13" s="21"/>
      <c r="E13" s="20" t="s">
        <v>85</v>
      </c>
      <c r="F13" s="21">
        <v>2</v>
      </c>
      <c r="G13" s="21" t="s">
        <v>64</v>
      </c>
      <c r="H13" s="21" t="s">
        <v>26</v>
      </c>
      <c r="I13" s="20" t="s">
        <v>86</v>
      </c>
      <c r="J13" s="1"/>
    </row>
    <row r="14" spans="1:10" ht="57">
      <c r="A14" s="23" t="s">
        <v>87</v>
      </c>
      <c r="B14" s="23" t="s">
        <v>88</v>
      </c>
      <c r="C14" s="24"/>
      <c r="D14" s="24"/>
      <c r="E14" s="23" t="s">
        <v>89</v>
      </c>
      <c r="F14" s="24">
        <v>2</v>
      </c>
      <c r="G14" s="24" t="s">
        <v>64</v>
      </c>
      <c r="H14" s="26" t="s">
        <v>60</v>
      </c>
      <c r="I14" s="23" t="s">
        <v>90</v>
      </c>
      <c r="J14" s="1"/>
    </row>
    <row r="15" spans="1:10" ht="38">
      <c r="A15" s="20" t="s">
        <v>87</v>
      </c>
      <c r="B15" s="20" t="s">
        <v>91</v>
      </c>
      <c r="C15" s="21"/>
      <c r="D15" s="21"/>
      <c r="E15" s="20" t="s">
        <v>92</v>
      </c>
      <c r="F15" s="21">
        <v>2</v>
      </c>
      <c r="G15" s="21" t="s">
        <v>64</v>
      </c>
      <c r="H15" s="21" t="s">
        <v>60</v>
      </c>
      <c r="I15" s="20" t="s">
        <v>93</v>
      </c>
      <c r="J15" s="1"/>
    </row>
    <row r="16" spans="1:10" ht="57">
      <c r="A16" s="23" t="s">
        <v>87</v>
      </c>
      <c r="B16" s="23" t="s">
        <v>94</v>
      </c>
      <c r="C16" s="24">
        <v>2</v>
      </c>
      <c r="D16" s="24">
        <v>10</v>
      </c>
      <c r="E16" s="23"/>
      <c r="F16" s="24">
        <v>2</v>
      </c>
      <c r="G16" s="24" t="s">
        <v>64</v>
      </c>
      <c r="H16" s="24" t="s">
        <v>60</v>
      </c>
      <c r="I16" s="23" t="s">
        <v>95</v>
      </c>
      <c r="J16" s="1"/>
    </row>
    <row r="17" spans="1:10" ht="57">
      <c r="A17" s="25" t="s">
        <v>87</v>
      </c>
      <c r="B17" s="20" t="s">
        <v>96</v>
      </c>
      <c r="C17" s="21"/>
      <c r="D17" s="21"/>
      <c r="E17" s="20" t="s">
        <v>97</v>
      </c>
      <c r="F17" s="21">
        <v>1</v>
      </c>
      <c r="G17" s="21" t="s">
        <v>64</v>
      </c>
      <c r="H17" s="21" t="s">
        <v>60</v>
      </c>
      <c r="I17" s="20" t="s">
        <v>98</v>
      </c>
      <c r="J17" s="1"/>
    </row>
    <row r="18" spans="1:10" ht="38">
      <c r="A18" s="27" t="s">
        <v>87</v>
      </c>
      <c r="B18" s="23" t="s">
        <v>99</v>
      </c>
      <c r="C18" s="24"/>
      <c r="D18" s="24"/>
      <c r="E18" s="23" t="s">
        <v>100</v>
      </c>
      <c r="F18" s="24">
        <v>1</v>
      </c>
      <c r="G18" s="24" t="s">
        <v>64</v>
      </c>
      <c r="H18" s="24" t="s">
        <v>60</v>
      </c>
      <c r="I18" s="23" t="s">
        <v>101</v>
      </c>
      <c r="J18" s="1"/>
    </row>
    <row r="19" spans="1:10" ht="38">
      <c r="A19" s="20" t="s">
        <v>102</v>
      </c>
      <c r="B19" s="20" t="s">
        <v>103</v>
      </c>
      <c r="C19" s="21">
        <v>1</v>
      </c>
      <c r="D19" s="21">
        <v>1</v>
      </c>
      <c r="E19" s="20"/>
      <c r="F19" s="21">
        <v>1</v>
      </c>
      <c r="G19" s="21" t="s">
        <v>80</v>
      </c>
      <c r="H19" s="21" t="s">
        <v>60</v>
      </c>
      <c r="I19" s="20" t="s">
        <v>104</v>
      </c>
      <c r="J19" s="1"/>
    </row>
    <row r="20" spans="1:10" ht="38">
      <c r="A20" s="23" t="s">
        <v>102</v>
      </c>
      <c r="B20" s="23" t="s">
        <v>105</v>
      </c>
      <c r="C20" s="24"/>
      <c r="D20" s="24"/>
      <c r="E20" s="23" t="s">
        <v>106</v>
      </c>
      <c r="F20" s="24">
        <v>2</v>
      </c>
      <c r="G20" s="24" t="s">
        <v>64</v>
      </c>
      <c r="H20" s="24" t="s">
        <v>26</v>
      </c>
      <c r="I20" s="23" t="s">
        <v>107</v>
      </c>
      <c r="J20" s="1"/>
    </row>
    <row r="21" spans="1:10" ht="57">
      <c r="A21" s="20" t="s">
        <v>102</v>
      </c>
      <c r="B21" s="20" t="s">
        <v>108</v>
      </c>
      <c r="C21" s="21">
        <v>1</v>
      </c>
      <c r="D21" s="21">
        <v>11</v>
      </c>
      <c r="E21" s="20"/>
      <c r="F21" s="21">
        <v>1</v>
      </c>
      <c r="G21" s="21" t="s">
        <v>64</v>
      </c>
      <c r="H21" s="21" t="s">
        <v>26</v>
      </c>
      <c r="I21" s="20" t="s">
        <v>109</v>
      </c>
      <c r="J21" s="1"/>
    </row>
    <row r="22" spans="1:10" ht="38">
      <c r="A22" s="23" t="s">
        <v>102</v>
      </c>
      <c r="B22" s="23" t="s">
        <v>110</v>
      </c>
      <c r="C22" s="24">
        <v>1</v>
      </c>
      <c r="D22" s="24">
        <v>3</v>
      </c>
      <c r="E22" s="23"/>
      <c r="F22" s="24">
        <v>2</v>
      </c>
      <c r="G22" s="24" t="s">
        <v>64</v>
      </c>
      <c r="H22" s="24" t="s">
        <v>26</v>
      </c>
      <c r="I22" s="23" t="s">
        <v>111</v>
      </c>
      <c r="J22" s="1"/>
    </row>
    <row r="23" spans="1:10" ht="57">
      <c r="A23" s="20" t="s">
        <v>102</v>
      </c>
      <c r="B23" s="20" t="s">
        <v>112</v>
      </c>
      <c r="C23" s="21"/>
      <c r="D23" s="21"/>
      <c r="E23" s="20" t="s">
        <v>113</v>
      </c>
      <c r="F23" s="21">
        <v>2</v>
      </c>
      <c r="G23" s="21" t="s">
        <v>64</v>
      </c>
      <c r="H23" s="21" t="s">
        <v>60</v>
      </c>
      <c r="I23" s="20" t="s">
        <v>114</v>
      </c>
      <c r="J23" s="1"/>
    </row>
    <row r="24" spans="1:10" ht="38">
      <c r="A24" s="23" t="s">
        <v>102</v>
      </c>
      <c r="B24" s="23" t="s">
        <v>115</v>
      </c>
      <c r="C24" s="24">
        <v>2</v>
      </c>
      <c r="D24" s="24">
        <v>9</v>
      </c>
      <c r="E24" s="23"/>
      <c r="F24" s="24">
        <v>1</v>
      </c>
      <c r="G24" s="24" t="s">
        <v>64</v>
      </c>
      <c r="H24" s="24" t="s">
        <v>60</v>
      </c>
      <c r="I24" s="23" t="s">
        <v>116</v>
      </c>
      <c r="J24" s="1"/>
    </row>
    <row r="25" spans="1:10" ht="57">
      <c r="A25" s="20" t="s">
        <v>102</v>
      </c>
      <c r="B25" s="20" t="s">
        <v>117</v>
      </c>
      <c r="C25" s="21"/>
      <c r="D25" s="21"/>
      <c r="E25" s="20" t="s">
        <v>118</v>
      </c>
      <c r="F25" s="21">
        <v>2</v>
      </c>
      <c r="G25" s="21" t="s">
        <v>80</v>
      </c>
      <c r="H25" s="24" t="s">
        <v>26</v>
      </c>
      <c r="I25" s="20" t="s">
        <v>119</v>
      </c>
      <c r="J25" s="1"/>
    </row>
    <row r="26" spans="1:10" ht="57">
      <c r="A26" s="23" t="s">
        <v>120</v>
      </c>
      <c r="B26" s="23" t="s">
        <v>121</v>
      </c>
      <c r="C26" s="24"/>
      <c r="D26" s="24"/>
      <c r="E26" s="23" t="s">
        <v>122</v>
      </c>
      <c r="F26" s="24">
        <v>2</v>
      </c>
      <c r="G26" s="24" t="s">
        <v>64</v>
      </c>
      <c r="H26" s="24" t="s">
        <v>28</v>
      </c>
      <c r="I26" s="23" t="s">
        <v>123</v>
      </c>
      <c r="J26" s="1"/>
    </row>
    <row r="27" spans="1:10" ht="57">
      <c r="A27" s="20" t="s">
        <v>120</v>
      </c>
      <c r="B27" s="20" t="s">
        <v>124</v>
      </c>
      <c r="C27" s="21">
        <v>2</v>
      </c>
      <c r="D27" s="21">
        <v>12</v>
      </c>
      <c r="E27" s="20"/>
      <c r="F27" s="21">
        <v>2</v>
      </c>
      <c r="G27" s="21" t="s">
        <v>64</v>
      </c>
      <c r="H27" s="24" t="s">
        <v>28</v>
      </c>
      <c r="I27" s="20" t="s">
        <v>125</v>
      </c>
      <c r="J27" s="1"/>
    </row>
    <row r="28" spans="1:10" ht="57">
      <c r="A28" s="23" t="s">
        <v>120</v>
      </c>
      <c r="B28" s="23" t="s">
        <v>126</v>
      </c>
      <c r="C28" s="24">
        <v>3</v>
      </c>
      <c r="D28" s="24">
        <v>11</v>
      </c>
      <c r="E28" s="23"/>
      <c r="F28" s="24">
        <v>3</v>
      </c>
      <c r="G28" s="24" t="s">
        <v>64</v>
      </c>
      <c r="H28" s="24" t="s">
        <v>28</v>
      </c>
      <c r="I28" s="23" t="s">
        <v>127</v>
      </c>
      <c r="J28" s="1"/>
    </row>
    <row r="29" spans="1:10" ht="57">
      <c r="A29" s="20" t="s">
        <v>120</v>
      </c>
      <c r="B29" s="20" t="s">
        <v>128</v>
      </c>
      <c r="C29" s="21">
        <v>3</v>
      </c>
      <c r="D29" s="21">
        <v>11</v>
      </c>
      <c r="E29" s="20"/>
      <c r="F29" s="21">
        <v>2</v>
      </c>
      <c r="G29" s="21" t="s">
        <v>64</v>
      </c>
      <c r="H29" s="24" t="s">
        <v>28</v>
      </c>
      <c r="I29" s="20" t="s">
        <v>129</v>
      </c>
      <c r="J29" s="1"/>
    </row>
    <row r="30" spans="1:10" ht="57">
      <c r="A30" s="23" t="s">
        <v>130</v>
      </c>
      <c r="B30" s="23" t="s">
        <v>131</v>
      </c>
      <c r="C30" s="24">
        <v>1</v>
      </c>
      <c r="D30" s="24">
        <v>12</v>
      </c>
      <c r="E30" s="23"/>
      <c r="F30" s="24">
        <v>2</v>
      </c>
      <c r="G30" s="24" t="s">
        <v>64</v>
      </c>
      <c r="H30" s="24" t="s">
        <v>28</v>
      </c>
      <c r="I30" s="23" t="s">
        <v>132</v>
      </c>
      <c r="J30" s="1"/>
    </row>
    <row r="31" spans="1:10" ht="57">
      <c r="A31" s="20" t="s">
        <v>130</v>
      </c>
      <c r="B31" s="20" t="s">
        <v>133</v>
      </c>
      <c r="C31" s="21"/>
      <c r="D31" s="21"/>
      <c r="E31" s="20" t="s">
        <v>134</v>
      </c>
      <c r="F31" s="21">
        <v>2</v>
      </c>
      <c r="G31" s="21" t="s">
        <v>64</v>
      </c>
      <c r="H31" s="24" t="s">
        <v>28</v>
      </c>
      <c r="I31" s="20" t="s">
        <v>135</v>
      </c>
      <c r="J31" s="1"/>
    </row>
    <row r="32" spans="1:10" ht="57">
      <c r="A32" s="23" t="s">
        <v>130</v>
      </c>
      <c r="B32" s="23" t="s">
        <v>136</v>
      </c>
      <c r="C32" s="24">
        <v>3</v>
      </c>
      <c r="D32" s="24">
        <v>9</v>
      </c>
      <c r="E32" s="23"/>
      <c r="F32" s="24">
        <v>3</v>
      </c>
      <c r="G32" s="24" t="s">
        <v>64</v>
      </c>
      <c r="H32" s="24" t="s">
        <v>28</v>
      </c>
      <c r="I32" s="23" t="s">
        <v>137</v>
      </c>
      <c r="J32" s="1"/>
    </row>
    <row r="33" spans="1:10" ht="38">
      <c r="A33" s="25" t="s">
        <v>130</v>
      </c>
      <c r="B33" s="20" t="s">
        <v>138</v>
      </c>
      <c r="C33" s="21">
        <v>3</v>
      </c>
      <c r="D33" s="21">
        <v>10</v>
      </c>
      <c r="E33" s="20"/>
      <c r="F33" s="21">
        <v>2</v>
      </c>
      <c r="G33" s="21" t="s">
        <v>64</v>
      </c>
      <c r="H33" s="24" t="s">
        <v>28</v>
      </c>
      <c r="I33" s="20" t="s">
        <v>139</v>
      </c>
      <c r="J33" s="1"/>
    </row>
    <row r="34" spans="1:10" ht="57">
      <c r="A34" s="27" t="s">
        <v>130</v>
      </c>
      <c r="B34" s="23" t="s">
        <v>140</v>
      </c>
      <c r="C34" s="24">
        <v>3</v>
      </c>
      <c r="D34" s="24">
        <v>12</v>
      </c>
      <c r="E34" s="23"/>
      <c r="F34" s="24">
        <v>3</v>
      </c>
      <c r="G34" s="24" t="s">
        <v>64</v>
      </c>
      <c r="H34" s="24" t="s">
        <v>28</v>
      </c>
      <c r="I34" s="23" t="s">
        <v>141</v>
      </c>
      <c r="J34" s="1"/>
    </row>
    <row r="35" spans="1:10" ht="57">
      <c r="A35" s="25" t="s">
        <v>130</v>
      </c>
      <c r="B35" s="20" t="s">
        <v>142</v>
      </c>
      <c r="C35" s="21">
        <v>3</v>
      </c>
      <c r="D35" s="21">
        <v>12</v>
      </c>
      <c r="E35" s="20"/>
      <c r="F35" s="21">
        <v>1</v>
      </c>
      <c r="G35" s="21" t="s">
        <v>64</v>
      </c>
      <c r="H35" s="24" t="s">
        <v>28</v>
      </c>
      <c r="I35" s="20" t="s">
        <v>143</v>
      </c>
      <c r="J35" s="1"/>
    </row>
    <row r="36" spans="1:10" ht="38">
      <c r="A36" s="23" t="s">
        <v>130</v>
      </c>
      <c r="B36" s="23" t="s">
        <v>144</v>
      </c>
      <c r="C36" s="24">
        <v>11</v>
      </c>
      <c r="D36" s="24">
        <v>12</v>
      </c>
      <c r="E36" s="23"/>
      <c r="F36" s="24">
        <v>2</v>
      </c>
      <c r="G36" s="24" t="s">
        <v>64</v>
      </c>
      <c r="H36" s="24" t="s">
        <v>28</v>
      </c>
      <c r="I36" s="23" t="s">
        <v>145</v>
      </c>
      <c r="J36" s="1"/>
    </row>
    <row r="37" spans="1:10" ht="57">
      <c r="A37" s="20" t="s">
        <v>130</v>
      </c>
      <c r="B37" s="20" t="s">
        <v>146</v>
      </c>
      <c r="C37" s="21">
        <v>2</v>
      </c>
      <c r="D37" s="21">
        <v>5</v>
      </c>
      <c r="E37" s="20"/>
      <c r="F37" s="21">
        <v>1</v>
      </c>
      <c r="G37" s="21" t="s">
        <v>64</v>
      </c>
      <c r="H37" s="21" t="s">
        <v>28</v>
      </c>
      <c r="I37" s="20" t="s">
        <v>147</v>
      </c>
      <c r="J37" s="1"/>
    </row>
    <row r="38" spans="1:10" ht="57">
      <c r="A38" s="23" t="s">
        <v>130</v>
      </c>
      <c r="B38" s="23" t="s">
        <v>148</v>
      </c>
      <c r="C38" s="24">
        <v>5</v>
      </c>
      <c r="D38" s="24">
        <v>5</v>
      </c>
      <c r="E38" s="23"/>
      <c r="F38" s="24">
        <v>2</v>
      </c>
      <c r="G38" s="24" t="s">
        <v>64</v>
      </c>
      <c r="H38" s="24" t="s">
        <v>28</v>
      </c>
      <c r="I38" s="23" t="s">
        <v>149</v>
      </c>
      <c r="J38" s="1"/>
    </row>
    <row r="39" spans="1:10" ht="38">
      <c r="A39" s="20" t="s">
        <v>150</v>
      </c>
      <c r="B39" s="20" t="s">
        <v>151</v>
      </c>
      <c r="C39" s="21">
        <v>2</v>
      </c>
      <c r="D39" s="21">
        <v>11</v>
      </c>
      <c r="E39" s="20"/>
      <c r="F39" s="21">
        <v>2</v>
      </c>
      <c r="G39" s="21" t="s">
        <v>64</v>
      </c>
      <c r="H39" s="21" t="s">
        <v>28</v>
      </c>
      <c r="I39" s="20" t="s">
        <v>152</v>
      </c>
      <c r="J39" s="1"/>
    </row>
    <row r="40" spans="1:10" ht="57">
      <c r="A40" s="23" t="s">
        <v>150</v>
      </c>
      <c r="B40" s="23" t="s">
        <v>153</v>
      </c>
      <c r="C40" s="24">
        <v>1</v>
      </c>
      <c r="D40" s="24">
        <v>12</v>
      </c>
      <c r="E40" s="23"/>
      <c r="F40" s="24">
        <v>2</v>
      </c>
      <c r="G40" s="24" t="s">
        <v>64</v>
      </c>
      <c r="H40" s="24" t="s">
        <v>28</v>
      </c>
      <c r="I40" s="23" t="s">
        <v>154</v>
      </c>
      <c r="J40" s="1"/>
    </row>
    <row r="41" spans="1:10" ht="57">
      <c r="A41" s="20" t="s">
        <v>150</v>
      </c>
      <c r="B41" s="20" t="s">
        <v>155</v>
      </c>
      <c r="C41" s="21">
        <v>1</v>
      </c>
      <c r="D41" s="21">
        <v>12</v>
      </c>
      <c r="E41" s="20"/>
      <c r="F41" s="21">
        <v>2</v>
      </c>
      <c r="G41" s="21" t="s">
        <v>64</v>
      </c>
      <c r="H41" s="21" t="s">
        <v>28</v>
      </c>
      <c r="I41" s="20" t="s">
        <v>156</v>
      </c>
      <c r="J41" s="1"/>
    </row>
    <row r="42" spans="1:10" ht="38">
      <c r="A42" s="23" t="s">
        <v>150</v>
      </c>
      <c r="B42" s="23" t="s">
        <v>157</v>
      </c>
      <c r="C42" s="24">
        <v>12</v>
      </c>
      <c r="D42" s="24">
        <v>1</v>
      </c>
      <c r="E42" s="23"/>
      <c r="F42" s="24">
        <v>2</v>
      </c>
      <c r="G42" s="24" t="s">
        <v>64</v>
      </c>
      <c r="H42" s="24" t="s">
        <v>28</v>
      </c>
      <c r="I42" s="23" t="s">
        <v>158</v>
      </c>
      <c r="J42" s="1"/>
    </row>
    <row r="43" spans="1:10">
      <c r="A43" s="20"/>
      <c r="B43" s="20"/>
      <c r="C43" s="21"/>
      <c r="D43" s="21"/>
      <c r="E43" s="20"/>
      <c r="F43" s="21"/>
      <c r="G43" s="21"/>
      <c r="H43" s="21"/>
      <c r="I43" s="20"/>
    </row>
    <row r="44" spans="1:10">
      <c r="A44" s="23"/>
      <c r="B44" s="23"/>
      <c r="C44" s="24"/>
      <c r="D44" s="24"/>
      <c r="E44" s="23"/>
      <c r="F44" s="24"/>
      <c r="G44" s="24"/>
      <c r="H44" s="24"/>
      <c r="I44" s="23"/>
    </row>
    <row r="45" spans="1:10">
      <c r="A45" s="20"/>
      <c r="B45" s="20"/>
      <c r="C45" s="21"/>
      <c r="D45" s="21"/>
      <c r="E45" s="20"/>
      <c r="F45" s="21"/>
      <c r="G45" s="21"/>
      <c r="H45" s="21"/>
      <c r="I45" s="20"/>
    </row>
    <row r="46" spans="1:10">
      <c r="A46" s="23"/>
      <c r="B46" s="23"/>
      <c r="C46" s="24"/>
      <c r="D46" s="24"/>
      <c r="E46" s="23"/>
      <c r="F46" s="24"/>
      <c r="G46" s="24"/>
      <c r="H46" s="24"/>
      <c r="I46" s="23"/>
    </row>
    <row r="47" spans="1:10">
      <c r="A47" s="20"/>
      <c r="B47" s="20"/>
      <c r="C47" s="21"/>
      <c r="D47" s="21"/>
      <c r="E47" s="20"/>
      <c r="F47" s="21"/>
      <c r="G47" s="21"/>
      <c r="H47" s="21"/>
      <c r="I47" s="20"/>
    </row>
    <row r="48" spans="1:10">
      <c r="A48" s="20"/>
      <c r="B48" s="20"/>
      <c r="C48" s="21"/>
      <c r="D48" s="21"/>
      <c r="E48" s="20"/>
      <c r="F48" s="21"/>
      <c r="G48" s="21"/>
      <c r="H48" s="21"/>
      <c r="I48" s="23"/>
    </row>
    <row r="49" spans="1:9">
      <c r="A49" s="20"/>
      <c r="B49" s="20"/>
      <c r="C49" s="21"/>
      <c r="D49" s="21"/>
      <c r="E49" s="20"/>
      <c r="F49" s="21"/>
      <c r="G49" s="21"/>
      <c r="H49" s="21"/>
      <c r="I49" s="20"/>
    </row>
    <row r="50" spans="1:9">
      <c r="A50" s="23"/>
      <c r="B50" s="23"/>
      <c r="C50" s="24"/>
      <c r="D50" s="24"/>
      <c r="E50" s="23"/>
      <c r="F50" s="24"/>
      <c r="G50" s="24"/>
      <c r="H50" s="24"/>
      <c r="I50" s="23"/>
    </row>
    <row r="51" spans="1:9">
      <c r="A51" s="20"/>
      <c r="B51" s="20"/>
      <c r="C51" s="21"/>
      <c r="D51" s="21"/>
      <c r="E51" s="20"/>
      <c r="F51" s="21"/>
      <c r="G51" s="21"/>
      <c r="H51" s="21"/>
      <c r="I51" s="20"/>
    </row>
    <row r="52" spans="1:9">
      <c r="A52" s="23"/>
      <c r="B52" s="23"/>
      <c r="C52" s="24"/>
      <c r="D52" s="24"/>
      <c r="E52" s="23"/>
      <c r="F52" s="24"/>
      <c r="G52" s="24"/>
      <c r="H52" s="24"/>
      <c r="I52" s="23"/>
    </row>
    <row r="53" spans="1:9">
      <c r="A53" s="20"/>
      <c r="B53" s="20"/>
      <c r="C53" s="21"/>
      <c r="D53" s="21"/>
      <c r="E53" s="20"/>
      <c r="F53" s="21"/>
      <c r="G53" s="21"/>
      <c r="H53" s="21"/>
      <c r="I53" s="20"/>
    </row>
    <row r="54" spans="1:9">
      <c r="A54" s="23"/>
      <c r="B54" s="23"/>
      <c r="C54" s="24"/>
      <c r="D54" s="24"/>
      <c r="E54" s="23"/>
      <c r="F54" s="24"/>
      <c r="G54" s="24"/>
      <c r="H54" s="24"/>
      <c r="I54" s="23"/>
    </row>
    <row r="55" spans="1:9">
      <c r="A55" s="23"/>
      <c r="B55" s="23"/>
      <c r="C55" s="24"/>
      <c r="D55" s="24"/>
      <c r="E55" s="23"/>
      <c r="F55" s="24"/>
      <c r="G55" s="24"/>
      <c r="H55" s="24"/>
      <c r="I55" s="23"/>
    </row>
    <row r="56" spans="1:9">
      <c r="A56" s="20"/>
      <c r="B56" s="20"/>
      <c r="C56" s="21"/>
      <c r="D56" s="21"/>
      <c r="E56" s="20"/>
      <c r="F56" s="21"/>
      <c r="G56" s="21"/>
      <c r="H56" s="21"/>
      <c r="I56" s="20"/>
    </row>
    <row r="57" spans="1:9">
      <c r="A57" s="23"/>
      <c r="B57" s="23"/>
      <c r="C57" s="24"/>
      <c r="D57" s="24"/>
      <c r="E57" s="23"/>
      <c r="F57" s="24"/>
      <c r="G57" s="24"/>
      <c r="H57" s="24"/>
      <c r="I57" s="23"/>
    </row>
    <row r="58" spans="1:9">
      <c r="A58" s="20"/>
      <c r="B58" s="20"/>
      <c r="C58" s="21"/>
      <c r="D58" s="21"/>
      <c r="E58" s="20"/>
      <c r="F58" s="21"/>
      <c r="G58" s="21"/>
      <c r="H58" s="21"/>
      <c r="I58" s="20"/>
    </row>
    <row r="59" spans="1:9">
      <c r="A59" s="23"/>
      <c r="B59" s="23"/>
      <c r="C59" s="24"/>
      <c r="D59" s="24"/>
      <c r="E59" s="23"/>
      <c r="F59" s="24"/>
      <c r="G59" s="24"/>
      <c r="H59" s="24"/>
      <c r="I59" s="23"/>
    </row>
    <row r="60" spans="1:9">
      <c r="A60" s="20"/>
      <c r="B60" s="20"/>
      <c r="C60" s="21"/>
      <c r="D60" s="21"/>
      <c r="E60" s="20"/>
      <c r="F60" s="21"/>
      <c r="G60" s="21"/>
      <c r="H60" s="21"/>
      <c r="I60" s="20"/>
    </row>
    <row r="61" spans="1:9">
      <c r="A61" s="23"/>
      <c r="B61" s="23"/>
      <c r="C61" s="24"/>
      <c r="D61" s="24"/>
      <c r="E61" s="23"/>
      <c r="F61" s="24"/>
      <c r="G61" s="24"/>
      <c r="H61" s="24"/>
      <c r="I61" s="23"/>
    </row>
    <row r="62" spans="1:9">
      <c r="A62" s="20"/>
      <c r="B62" s="20"/>
      <c r="C62" s="21"/>
      <c r="D62" s="21"/>
      <c r="E62" s="20"/>
      <c r="F62" s="21"/>
      <c r="G62" s="21"/>
      <c r="H62" s="21"/>
      <c r="I62" s="20"/>
    </row>
    <row r="63" spans="1:9">
      <c r="A63" s="23"/>
      <c r="B63" s="23"/>
      <c r="C63" s="24"/>
      <c r="D63" s="24"/>
      <c r="E63" s="23"/>
      <c r="F63" s="24"/>
      <c r="G63" s="24"/>
      <c r="H63" s="24"/>
      <c r="I63" s="23"/>
    </row>
    <row r="64" spans="1:9">
      <c r="A64" s="20"/>
      <c r="B64" s="20"/>
      <c r="C64" s="21"/>
      <c r="D64" s="21"/>
      <c r="E64" s="20"/>
      <c r="F64" s="21"/>
      <c r="G64" s="21"/>
      <c r="H64" s="21"/>
      <c r="I64" s="20"/>
    </row>
    <row r="65" spans="1:9">
      <c r="A65" s="23"/>
      <c r="B65" s="23"/>
      <c r="C65" s="24"/>
      <c r="D65" s="24"/>
      <c r="E65" s="23"/>
      <c r="F65" s="24"/>
      <c r="G65" s="24"/>
      <c r="H65" s="24"/>
      <c r="I65" s="23"/>
    </row>
    <row r="66" spans="1:9">
      <c r="A66" s="20"/>
      <c r="B66" s="20"/>
      <c r="C66" s="21"/>
      <c r="D66" s="21"/>
      <c r="E66" s="20"/>
      <c r="F66" s="21"/>
      <c r="G66" s="21"/>
      <c r="H66" s="21"/>
      <c r="I66" s="20"/>
    </row>
    <row r="67" spans="1:9">
      <c r="A67" s="23"/>
      <c r="B67" s="23"/>
      <c r="C67" s="24"/>
      <c r="D67" s="24"/>
      <c r="E67" s="23"/>
      <c r="F67" s="24"/>
      <c r="G67" s="24"/>
      <c r="H67" s="24"/>
      <c r="I67" s="23"/>
    </row>
    <row r="68" spans="1:9">
      <c r="A68" s="20"/>
      <c r="B68" s="20"/>
      <c r="C68" s="21"/>
      <c r="D68" s="21"/>
      <c r="E68" s="20"/>
      <c r="F68" s="21"/>
      <c r="G68" s="21"/>
      <c r="H68" s="21"/>
      <c r="I68" s="20"/>
    </row>
    <row r="69" spans="1:9">
      <c r="A69" s="23"/>
      <c r="B69" s="23"/>
      <c r="C69" s="24"/>
      <c r="D69" s="24"/>
      <c r="E69" s="23"/>
      <c r="F69" s="24"/>
      <c r="G69" s="24"/>
      <c r="H69" s="24"/>
      <c r="I69" s="23"/>
    </row>
    <row r="70" spans="1:9">
      <c r="A70" s="20"/>
      <c r="B70" s="20"/>
      <c r="C70" s="21"/>
      <c r="D70" s="21"/>
      <c r="E70" s="20"/>
      <c r="F70" s="21"/>
      <c r="G70" s="21"/>
      <c r="H70" s="21"/>
      <c r="I70" s="20"/>
    </row>
    <row r="71" spans="1:9">
      <c r="A71" s="23"/>
      <c r="B71" s="23"/>
      <c r="C71" s="24"/>
      <c r="D71" s="24"/>
      <c r="E71" s="23"/>
      <c r="F71" s="24"/>
      <c r="G71" s="24"/>
      <c r="H71" s="24"/>
      <c r="I71" s="23"/>
    </row>
    <row r="72" spans="1:9">
      <c r="A72" s="20"/>
      <c r="B72" s="20"/>
      <c r="C72" s="21"/>
      <c r="D72" s="21"/>
      <c r="E72" s="20"/>
      <c r="F72" s="21"/>
      <c r="G72" s="21"/>
      <c r="H72" s="21"/>
      <c r="I72" s="20"/>
    </row>
    <row r="73" spans="1:9">
      <c r="A73" s="23"/>
      <c r="B73" s="23"/>
      <c r="C73" s="24"/>
      <c r="D73" s="24"/>
      <c r="E73" s="23"/>
      <c r="F73" s="24"/>
      <c r="G73" s="24"/>
      <c r="H73" s="24"/>
      <c r="I73" s="23"/>
    </row>
    <row r="74" spans="1:9">
      <c r="A74" s="20"/>
      <c r="B74" s="20"/>
      <c r="C74" s="21"/>
      <c r="D74" s="21"/>
      <c r="E74" s="20"/>
      <c r="F74" s="21"/>
      <c r="G74" s="21"/>
      <c r="H74" s="21"/>
      <c r="I74" s="20"/>
    </row>
    <row r="75" spans="1:9">
      <c r="A75" s="23"/>
      <c r="B75" s="23"/>
      <c r="C75" s="24"/>
      <c r="D75" s="24"/>
      <c r="E75" s="23"/>
      <c r="F75" s="24"/>
      <c r="G75" s="24"/>
      <c r="H75" s="24"/>
      <c r="I75" s="23"/>
    </row>
    <row r="76" spans="1:9">
      <c r="A76" s="20"/>
      <c r="B76" s="20"/>
      <c r="C76" s="21"/>
      <c r="D76" s="21"/>
      <c r="E76" s="20"/>
      <c r="F76" s="21"/>
      <c r="G76" s="21"/>
      <c r="H76" s="21"/>
      <c r="I76" s="20"/>
    </row>
    <row r="77" spans="1:9">
      <c r="A77" s="23"/>
      <c r="B77" s="23"/>
      <c r="C77" s="24"/>
      <c r="D77" s="24"/>
      <c r="E77" s="23"/>
      <c r="F77" s="24"/>
      <c r="G77" s="24"/>
      <c r="H77" s="24"/>
      <c r="I77" s="23"/>
    </row>
    <row r="78" spans="1:9">
      <c r="A78" s="20"/>
      <c r="B78" s="20"/>
      <c r="C78" s="21"/>
      <c r="D78" s="21"/>
      <c r="E78" s="20"/>
      <c r="F78" s="21"/>
      <c r="G78" s="21"/>
      <c r="H78" s="21"/>
      <c r="I78" s="20"/>
    </row>
    <row r="79" spans="1:9">
      <c r="A79" s="23"/>
      <c r="B79" s="23"/>
      <c r="C79" s="24"/>
      <c r="D79" s="24"/>
      <c r="E79" s="23"/>
      <c r="F79" s="24"/>
      <c r="G79" s="24"/>
      <c r="H79" s="24"/>
      <c r="I79" s="23"/>
    </row>
    <row r="80" spans="1:9">
      <c r="A80" s="20"/>
      <c r="B80" s="20"/>
      <c r="C80" s="21"/>
      <c r="D80" s="21"/>
      <c r="E80" s="20"/>
      <c r="F80" s="21"/>
      <c r="G80" s="21"/>
      <c r="H80" s="21"/>
      <c r="I80" s="20"/>
    </row>
    <row r="81" spans="1:9">
      <c r="A81" s="23"/>
      <c r="B81" s="23"/>
      <c r="C81" s="24"/>
      <c r="D81" s="24"/>
      <c r="E81" s="23"/>
      <c r="F81" s="24"/>
      <c r="G81" s="24"/>
      <c r="H81" s="24"/>
      <c r="I81" s="23"/>
    </row>
    <row r="82" spans="1:9">
      <c r="A82" s="20"/>
      <c r="B82" s="20"/>
      <c r="C82" s="21"/>
      <c r="D82" s="21"/>
      <c r="E82" s="20"/>
      <c r="F82" s="21"/>
      <c r="G82" s="21"/>
      <c r="H82" s="21"/>
      <c r="I82" s="20"/>
    </row>
    <row r="83" spans="1:9">
      <c r="A83" s="23"/>
      <c r="B83" s="23"/>
      <c r="C83" s="24"/>
      <c r="D83" s="24"/>
      <c r="E83" s="23"/>
      <c r="F83" s="24"/>
      <c r="G83" s="24"/>
      <c r="H83" s="24"/>
      <c r="I83" s="23"/>
    </row>
    <row r="84" spans="1:9">
      <c r="A84" s="20"/>
      <c r="B84" s="20"/>
      <c r="C84" s="21"/>
      <c r="D84" s="21"/>
      <c r="E84" s="20"/>
      <c r="F84" s="21"/>
      <c r="G84" s="21"/>
      <c r="H84" s="21"/>
      <c r="I84" s="20"/>
    </row>
    <row r="85" spans="1:9">
      <c r="A85" s="23"/>
      <c r="B85" s="23"/>
      <c r="C85" s="24"/>
      <c r="D85" s="24"/>
      <c r="E85" s="23"/>
      <c r="F85" s="24"/>
      <c r="G85" s="24"/>
      <c r="H85" s="24"/>
      <c r="I85" s="23"/>
    </row>
    <row r="86" spans="1:9">
      <c r="A86" s="20"/>
      <c r="B86" s="20"/>
      <c r="C86" s="21"/>
      <c r="D86" s="21"/>
      <c r="E86" s="20"/>
      <c r="F86" s="21"/>
      <c r="G86" s="21"/>
      <c r="H86" s="21"/>
      <c r="I86" s="20"/>
    </row>
    <row r="87" spans="1:9">
      <c r="A87" s="23"/>
      <c r="B87" s="23"/>
      <c r="C87" s="24"/>
      <c r="D87" s="24"/>
      <c r="E87" s="23"/>
      <c r="F87" s="24"/>
      <c r="G87" s="24"/>
      <c r="H87" s="24"/>
      <c r="I87" s="23"/>
    </row>
    <row r="88" spans="1:9">
      <c r="A88" s="20"/>
      <c r="B88" s="20"/>
      <c r="C88" s="21"/>
      <c r="D88" s="21"/>
      <c r="E88" s="20"/>
      <c r="F88" s="21"/>
      <c r="G88" s="21"/>
      <c r="H88" s="21"/>
      <c r="I88" s="20"/>
    </row>
    <row r="89" spans="1:9">
      <c r="A89" s="23"/>
      <c r="B89" s="23"/>
      <c r="C89" s="24"/>
      <c r="D89" s="24"/>
      <c r="E89" s="23"/>
      <c r="F89" s="24"/>
      <c r="G89" s="24"/>
      <c r="H89" s="24"/>
      <c r="I89" s="23"/>
    </row>
    <row r="90" spans="1:9">
      <c r="A90" s="20"/>
      <c r="B90" s="20"/>
      <c r="C90" s="21"/>
      <c r="D90" s="21"/>
      <c r="E90" s="20"/>
      <c r="F90" s="21"/>
      <c r="G90" s="21"/>
      <c r="H90" s="21"/>
      <c r="I90" s="20"/>
    </row>
    <row r="91" spans="1:9">
      <c r="A91" s="23"/>
      <c r="B91" s="23"/>
      <c r="C91" s="24"/>
      <c r="D91" s="24"/>
      <c r="E91" s="23"/>
      <c r="F91" s="24"/>
      <c r="G91" s="24"/>
      <c r="H91" s="24"/>
      <c r="I91" s="23"/>
    </row>
    <row r="92" spans="1:9">
      <c r="A92" s="20"/>
      <c r="B92" s="20"/>
      <c r="C92" s="21"/>
      <c r="D92" s="21"/>
      <c r="E92" s="20"/>
      <c r="F92" s="21"/>
      <c r="G92" s="21"/>
      <c r="H92" s="21"/>
      <c r="I92" s="20"/>
    </row>
    <row r="93" spans="1:9">
      <c r="A93" s="23"/>
      <c r="B93" s="23"/>
      <c r="C93" s="24"/>
      <c r="D93" s="24"/>
      <c r="E93" s="23"/>
      <c r="F93" s="24"/>
      <c r="G93" s="24"/>
      <c r="H93" s="24"/>
      <c r="I93" s="23"/>
    </row>
    <row r="94" spans="1:9">
      <c r="A94" s="20"/>
      <c r="B94" s="20"/>
      <c r="C94" s="21"/>
      <c r="D94" s="21"/>
      <c r="E94" s="20"/>
      <c r="F94" s="21"/>
      <c r="G94" s="21"/>
      <c r="H94" s="21"/>
      <c r="I94" s="20"/>
    </row>
    <row r="95" spans="1:9">
      <c r="A95" s="23"/>
      <c r="B95" s="23"/>
      <c r="C95" s="24"/>
      <c r="D95" s="24"/>
      <c r="E95" s="23"/>
      <c r="F95" s="24"/>
      <c r="G95" s="24"/>
      <c r="H95" s="24"/>
      <c r="I95" s="23"/>
    </row>
    <row r="96" spans="1:9">
      <c r="A96" s="20"/>
      <c r="B96" s="20"/>
      <c r="C96" s="21"/>
      <c r="D96" s="21"/>
      <c r="E96" s="20"/>
      <c r="F96" s="21"/>
      <c r="G96" s="21"/>
      <c r="H96" s="21"/>
      <c r="I96" s="20"/>
    </row>
    <row r="97" spans="1:10">
      <c r="A97" s="23"/>
      <c r="B97" s="23"/>
      <c r="C97" s="24"/>
      <c r="D97" s="24"/>
      <c r="E97" s="23"/>
      <c r="F97" s="24"/>
      <c r="G97" s="24"/>
      <c r="H97" s="24"/>
      <c r="I97" s="23"/>
    </row>
    <row r="98" spans="1:10">
      <c r="A98" s="20"/>
      <c r="B98" s="20"/>
      <c r="C98" s="21"/>
      <c r="D98" s="21"/>
      <c r="E98" s="20"/>
      <c r="F98" s="21"/>
      <c r="G98" s="21"/>
      <c r="H98" s="21"/>
      <c r="I98" s="20"/>
    </row>
    <row r="99" spans="1:10">
      <c r="A99" s="23"/>
      <c r="B99" s="23"/>
      <c r="C99" s="24"/>
      <c r="D99" s="24"/>
      <c r="E99" s="23"/>
      <c r="F99" s="24"/>
      <c r="G99" s="24"/>
      <c r="H99" s="24"/>
      <c r="I99" s="23"/>
    </row>
    <row r="100" spans="1:10">
      <c r="A100" s="20"/>
      <c r="B100" s="20"/>
      <c r="C100" s="21"/>
      <c r="D100" s="21"/>
      <c r="E100" s="20"/>
      <c r="F100" s="21"/>
      <c r="G100" s="21"/>
      <c r="H100" s="21"/>
      <c r="I100" s="20"/>
    </row>
    <row r="101" spans="1:10">
      <c r="A101" s="23"/>
      <c r="B101" s="23"/>
      <c r="C101" s="24"/>
      <c r="D101" s="24"/>
      <c r="E101" s="23"/>
      <c r="F101" s="24"/>
      <c r="G101" s="24"/>
      <c r="H101" s="24"/>
      <c r="I101" s="23"/>
    </row>
    <row r="102" spans="1:10">
      <c r="A102" s="20"/>
      <c r="B102" s="20"/>
      <c r="C102" s="21"/>
      <c r="D102" s="21"/>
      <c r="E102" s="20"/>
      <c r="F102" s="21"/>
      <c r="G102" s="21"/>
      <c r="H102" s="21"/>
      <c r="I102" s="20"/>
    </row>
    <row r="103" spans="1:10">
      <c r="A103" s="23"/>
      <c r="B103" s="23"/>
      <c r="C103" s="24"/>
      <c r="D103" s="24"/>
      <c r="E103" s="23"/>
      <c r="F103" s="24"/>
      <c r="G103" s="24"/>
      <c r="H103" s="24"/>
      <c r="I103" s="23"/>
    </row>
    <row r="104" spans="1:10">
      <c r="A104" s="20"/>
      <c r="B104" s="20"/>
      <c r="C104" s="21"/>
      <c r="D104" s="21"/>
      <c r="E104" s="20"/>
      <c r="F104" s="21"/>
      <c r="G104" s="21"/>
      <c r="H104" s="21"/>
      <c r="I104" s="20"/>
      <c r="J104" s="1"/>
    </row>
    <row r="105" spans="1:10">
      <c r="A105" s="23"/>
      <c r="B105" s="23"/>
      <c r="C105" s="24"/>
      <c r="D105" s="24"/>
      <c r="E105" s="23"/>
      <c r="F105" s="24"/>
      <c r="G105" s="24"/>
      <c r="H105" s="24"/>
      <c r="I105" s="23"/>
      <c r="J105" s="1"/>
    </row>
    <row r="106" spans="1:10">
      <c r="J106" s="1"/>
    </row>
    <row r="107" spans="1:10">
      <c r="J107" s="1"/>
    </row>
  </sheetData>
  <mergeCells count="2">
    <mergeCell ref="A1:I1"/>
    <mergeCell ref="A2:I2"/>
  </mergeCells>
  <dataValidations count="6">
    <dataValidation type="list" allowBlank="1" sqref="A5:A105" xr:uid="{00000000-0002-0000-0000-000000000000}">
      <formula1>"CTE advising,WBL plan &amp; partnerships,Funding &amp; grants,PBL &amp; high quality instruction,Data,systems &amp; improvement,Work readiness,Professional learning &amp; adult capacity"</formula1>
      <formula2>0</formula2>
    </dataValidation>
    <dataValidation type="whole" allowBlank="1" error="Use 1–12 (1=Jul, 12=Jun)" sqref="C5:D105" xr:uid="{00000000-0002-0000-0000-000001000000}">
      <formula1>1</formula1>
      <formula2>12</formula2>
    </dataValidation>
    <dataValidation type="whole" allowBlank="1" error="Effort must be 1, 2, 3, or 4" sqref="F5:F105" xr:uid="{00000000-0002-0000-0000-000002000000}">
      <formula1>1</formula1>
      <formula2>4</formula2>
    </dataValidation>
    <dataValidation type="list" allowBlank="1" sqref="G5:G105" xr:uid="{00000000-0002-0000-0000-000003000000}">
      <formula1>"Yes,No"</formula1>
      <formula2>0</formula2>
    </dataValidation>
    <dataValidation type="list" allowBlank="1" sqref="H5:H105" xr:uid="{00000000-0002-0000-0000-000004000000}">
      <formula1>"Coaches,Coordinators,Both"</formula1>
    </dataValidation>
    <dataValidation type="list" sqref="A5:A104" xr:uid="{00000000-0002-0000-0000-000005000000}">
      <formula1>_xlfn._LONGTEXT("CTE Pathway, Scheduling &amp; Funding,Instructional Design, PBL &amp; Defenses,Pathway Strategy, Data &amp; Certification,Professional Learning &amp; Leadership,WBL Planning, Partnerships &amp; Career Exposure,Internships &amp; Work Readiness,WBL Operations, Logistics &amp; Reportin","g")</formula1>
    </dataValidation>
  </dataValidations>
  <hyperlinks>
    <hyperlink ref="J5" r:id="rId1" display="https://docs.google.com/document/d/1Ykh-NHN-0CNySPAw--TcHPXBpeSqfCey9460CYr9g0w/edit?usp=drive_link" xr:uid="{00000000-0004-0000-0000-000000000000}"/>
    <hyperlink ref="J6" r:id="rId2" display="https://lausd.sharepoint.com/:w:/r/sites/itd_misis/_layouts/15/Doc.aspx?sourcedoc=%7bB4C72AAD-9328-494B-B107-1029FC253DC4%7d&amp;file=SCH%20070%200290%20Capstone%20Enrollment%20with%20no%20Prior%20Concentrator%20course%20in%20same%20Pathway.docx&amp;action=default&amp;mobileredirect=true" xr:uid="{00000000-0004-0000-0000-000001000000}"/>
    <hyperlink ref="J7" r:id="rId3" display="https://lausd.sharepoint.com/:w:/r/sites/itd_misis/_layouts/15/Doc.aspx?sourcedoc=%7bB4C72AAD-9328-494B-B107-1029FC253DC4%7d&amp;file=SCH%20070%200290%20Capstone%20Enrollment%20with%20no%20Prior%20Concentrator%20course%20in%20same%20Pathway.docx&amp;action=default&amp;mobileredirect=true" xr:uid="{00000000-0004-0000-0000-000002000000}"/>
    <hyperlink ref="J10" r:id="rId4" display="https://docs.google.com/document/d/1-jmc7z8A2RUCvaOVRxXY96vUSbBG-KtDJSHL5HhUeNk/edit?tab=t.0" xr:uid="{00000000-0004-0000-0000-000003000000}"/>
    <hyperlink ref="J11" r:id="rId5" display="https://docs.google.com/presentation/d/1IRXy4tLtRVreYJGUQF2DkNsSBS08D6r8tbbnUNdGliY/edit?usp=sharing" xr:uid="{00000000-0004-0000-0000-000004000000}"/>
  </hyperlinks>
  <pageMargins left="0.7" right="0.7" top="0.75" bottom="0.75" header="0.3" footer="0.3"/>
  <drawing r:id="rId6"/>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07"/>
  <sheetViews>
    <sheetView workbookViewId="0">
      <selection activeCell="A5" sqref="A5"/>
    </sheetView>
  </sheetViews>
  <sheetFormatPr baseColWidth="10" defaultColWidth="8.6640625" defaultRowHeight="18"/>
  <cols>
    <col min="1" max="1" width="23.5" style="18" customWidth="1"/>
    <col min="2" max="2" width="32.1640625" style="18" customWidth="1"/>
    <col min="3" max="10" width="21.83203125" style="5" customWidth="1"/>
    <col min="11" max="14" width="21.83203125" style="6" customWidth="1"/>
    <col min="15" max="15" width="8.6640625" style="1" customWidth="1"/>
    <col min="16" max="16384" width="8.6640625" style="1"/>
  </cols>
  <sheetData>
    <row r="1" spans="1:14" ht="29">
      <c r="A1" s="46" t="s">
        <v>12</v>
      </c>
      <c r="B1" s="47"/>
      <c r="C1" s="49"/>
      <c r="D1" s="49"/>
      <c r="E1" s="49"/>
      <c r="F1" s="49"/>
      <c r="G1" s="49"/>
      <c r="H1" s="49"/>
      <c r="I1" s="49"/>
      <c r="J1" s="49"/>
      <c r="K1" s="50"/>
      <c r="L1" s="50"/>
      <c r="M1" s="50"/>
      <c r="N1" s="50"/>
    </row>
    <row r="2" spans="1:14">
      <c r="A2" s="48" t="s">
        <v>13</v>
      </c>
      <c r="B2" s="47"/>
      <c r="C2" s="49"/>
      <c r="D2" s="49"/>
      <c r="E2" s="49"/>
      <c r="F2" s="49"/>
      <c r="G2" s="49"/>
      <c r="H2" s="49"/>
      <c r="I2" s="49"/>
      <c r="J2" s="49"/>
      <c r="K2" s="50"/>
      <c r="L2" s="50"/>
      <c r="M2" s="50"/>
      <c r="N2" s="50"/>
    </row>
    <row r="4" spans="1:14" s="4" customFormat="1" ht="23">
      <c r="A4" s="17" t="s">
        <v>2</v>
      </c>
      <c r="B4" s="17" t="s">
        <v>3</v>
      </c>
      <c r="C4" s="2" t="s">
        <v>14</v>
      </c>
      <c r="D4" s="2" t="s">
        <v>15</v>
      </c>
      <c r="E4" s="2" t="s">
        <v>16</v>
      </c>
      <c r="F4" s="2" t="s">
        <v>17</v>
      </c>
      <c r="G4" s="2" t="s">
        <v>18</v>
      </c>
      <c r="H4" s="2" t="s">
        <v>19</v>
      </c>
      <c r="I4" s="2" t="s">
        <v>20</v>
      </c>
      <c r="J4" s="2" t="s">
        <v>21</v>
      </c>
      <c r="K4" s="3" t="s">
        <v>22</v>
      </c>
      <c r="L4" s="3" t="s">
        <v>23</v>
      </c>
      <c r="M4" s="3" t="s">
        <v>24</v>
      </c>
      <c r="N4" s="3" t="s">
        <v>25</v>
      </c>
    </row>
    <row r="5" spans="1:14" s="8" customFormat="1" ht="60">
      <c r="A5" s="14" t="str">
        <f>IF(Activities!$A5&lt;&gt;"",Activities!$A5,"")</f>
        <v>CTE Pathway, Scheduling &amp; Funding</v>
      </c>
      <c r="B5" s="7" t="str">
        <f>IF(Activities!$B5&lt;&gt;"",Activities!$B5,"")</f>
        <v>CTE master scheduling, pathway completion &amp; Elevate error review</v>
      </c>
      <c r="C5" s="43" t="str">
        <f>IF(AND(Activities!$A5&lt;&gt;"",IF(Activities!$E5&lt;&gt;"",ISNUMBER(SEARCH(",1,",","&amp;Activities!$E5&amp;",")),AND(Activities!$C5&lt;=1,Activities!$D5&gt;=1))),IF(Activities!$H5="Coaches","🌱 ",IF(Activities!$H5="Coordinators","⚙️ ",IF(Activities!$H5="Both","👥 ","")))&amp;Activities!$B5&amp;CHAR(10)&amp;REPT("●",Activities!$F5),"")</f>
        <v>🌱 CTE master scheduling, pathway completion &amp; Elevate error review
●</v>
      </c>
      <c r="D5" s="43" t="str">
        <f>IF(AND(Activities!$A5&lt;&gt;"",IF(Activities!$E5&lt;&gt;"",ISNUMBER(SEARCH(",2,",","&amp;Activities!$E5&amp;",")),AND(Activities!$C5&lt;=2,Activities!$D5&gt;=2))),IF(Activities!$H5="Coaches","🌱 ",IF(Activities!$H5="Coordinators","⚙️ ",IF(Activities!$H5="Both","👥 ","")))&amp;Activities!$B5&amp;CHAR(10)&amp;REPT("●",Activities!$F5),"")</f>
        <v>🌱 CTE master scheduling, pathway completion &amp; Elevate error review
●</v>
      </c>
      <c r="E5" s="7" t="str">
        <f>IF(AND(Activities!$A5&lt;&gt;"",IF(Activities!$E5&lt;&gt;"",ISNUMBER(SEARCH(",3,",","&amp;Activities!$E5&amp;",")),AND(Activities!$C5&lt;=3,Activities!$D5&gt;=3))),IF(Activities!$H5="Coaches","🌱 ",IF(Activities!$H5="Coordinators","⚙️ ",IF(Activities!$H5="Both","👥 ","")))&amp;Activities!$B5&amp;CHAR(10)&amp;REPT("●",Activities!$F5),"")</f>
        <v>🌱 CTE master scheduling, pathway completion &amp; Elevate error review
●</v>
      </c>
      <c r="F5" s="7" t="str">
        <f>IF(AND(Activities!$A5&lt;&gt;"",IF(Activities!$E5&lt;&gt;"",ISNUMBER(SEARCH(",4,",","&amp;Activities!$E5&amp;",")),AND(Activities!$C5&lt;=4,Activities!$D5&gt;=4))),IF(Activities!$H5="Coaches","🌱 ",IF(Activities!$H5="Coordinators","⚙️ ",IF(Activities!$H5="Both","👥 ","")))&amp;Activities!$B5&amp;CHAR(10)&amp;REPT("●",Activities!$F5),"")</f>
        <v>🌱 CTE master scheduling, pathway completion &amp; Elevate error review
●</v>
      </c>
      <c r="G5" s="7" t="str">
        <f>IF(AND(Activities!$A5&lt;&gt;"",IF(Activities!$E5&lt;&gt;"",ISNUMBER(SEARCH(",5,",","&amp;Activities!$E5&amp;",")),AND(Activities!$C5&lt;=5,Activities!$D5&gt;=5))),IF(Activities!$H5="Coaches","🌱 ",IF(Activities!$H5="Coordinators","⚙️ ",IF(Activities!$H5="Both","👥 ","")))&amp;Activities!$B5&amp;CHAR(10)&amp;REPT("●",Activities!$F5),"")</f>
        <v>🌱 CTE master scheduling, pathway completion &amp; Elevate error review
●</v>
      </c>
      <c r="H5" s="7" t="str">
        <f>IF(AND(Activities!$A5&lt;&gt;"",IF(Activities!$E5&lt;&gt;"",ISNUMBER(SEARCH(",6,",","&amp;Activities!$E5&amp;",")),AND(Activities!$C5&lt;=6,Activities!$D5&gt;=6))),IF(Activities!$H5="Coaches","🌱 ",IF(Activities!$H5="Coordinators","⚙️ ",IF(Activities!$H5="Both","👥 ","")))&amp;Activities!$B5&amp;CHAR(10)&amp;REPT("●",Activities!$F5),"")</f>
        <v>🌱 CTE master scheduling, pathway completion &amp; Elevate error review
●</v>
      </c>
      <c r="I5" s="7" t="str">
        <f>IF(AND(Activities!$A5&lt;&gt;"",IF(Activities!$E5&lt;&gt;"",ISNUMBER(SEARCH(",7,",","&amp;Activities!$E5&amp;",")),AND(Activities!$C5&lt;=7,Activities!$D5&gt;=7))),IF(Activities!$H5="Coaches","🌱 ",IF(Activities!$H5="Coordinators","⚙️ ",IF(Activities!$H5="Both","👥 ","")))&amp;Activities!$B5&amp;CHAR(10)&amp;REPT("●",Activities!$F5),"")</f>
        <v>🌱 CTE master scheduling, pathway completion &amp; Elevate error review
●</v>
      </c>
      <c r="J5" s="7" t="str">
        <f>IF(AND(Activities!$A5&lt;&gt;"",IF(Activities!$E5&lt;&gt;"",ISNUMBER(SEARCH(",8,",","&amp;Activities!$E5&amp;",")),AND(Activities!$C5&lt;=8,Activities!$D5&gt;=8))),IF(Activities!$H5="Coaches","🌱 ",IF(Activities!$H5="Coordinators","⚙️ ",IF(Activities!$H5="Both","👥 ","")))&amp;Activities!$B5&amp;CHAR(10)&amp;REPT("●",Activities!$F5),"")</f>
        <v/>
      </c>
      <c r="K5" s="44" t="str">
        <f>IF(AND(Activities!$A5&lt;&gt;"",IF(Activities!$E5&lt;&gt;"",ISNUMBER(SEARCH(",9,",","&amp;Activities!$E5&amp;",")),AND(Activities!$C5&lt;=9,Activities!$D5&gt;=9))),IF(Activities!$H5="Coaches","🌱 ",IF(Activities!$H5="Coordinators","⚙️ ",IF(Activities!$H5="Both","👥 ","")))&amp;Activities!$B5&amp;CHAR(10)&amp;REPT("●",Activities!$F5),"")</f>
        <v>🌱 CTE master scheduling, pathway completion &amp; Elevate error review
●</v>
      </c>
      <c r="L5" s="7" t="str">
        <f>IF(AND(Activities!$A5&lt;&gt;"",IF(Activities!$E5&lt;&gt;"",ISNUMBER(SEARCH(",10,",","&amp;Activities!$E5&amp;",")),AND(Activities!$C5&lt;=10,Activities!$D5&gt;=10))),IF(Activities!$H5="Coaches","🌱 ",IF(Activities!$H5="Coordinators","⚙️ ",IF(Activities!$H5="Both","👥 ","")))&amp;Activities!$B5&amp;CHAR(10)&amp;REPT("●",Activities!$F5),"")</f>
        <v/>
      </c>
      <c r="M5" s="7" t="str">
        <f>IF(AND(Activities!$A5&lt;&gt;"",IF(Activities!$E5&lt;&gt;"",ISNUMBER(SEARCH(",11,",","&amp;Activities!$E5&amp;",")),AND(Activities!$C5&lt;=11,Activities!$D5&gt;=11))),IF(Activities!$H5="Coaches","🌱 ",IF(Activities!$H5="Coordinators","⚙️ ",IF(Activities!$H5="Both","👥 ","")))&amp;Activities!$B5&amp;CHAR(10)&amp;REPT("●",Activities!$F5),"")</f>
        <v/>
      </c>
      <c r="N5" s="7" t="str">
        <f>IF(AND(Activities!$A5&lt;&gt;"",IF(Activities!$E5&lt;&gt;"",ISNUMBER(SEARCH(",12,",","&amp;Activities!$E5&amp;",")),AND(Activities!$C5&lt;=12,Activities!$D5&gt;=12))),IF(Activities!$H5="Coaches","🌱 ",IF(Activities!$H5="Coordinators","⚙️ ",IF(Activities!$H5="Both","👥 ","")))&amp;Activities!$B5&amp;CHAR(10)&amp;REPT("●",Activities!$F5),"")</f>
        <v>🌱 CTE master scheduling, pathway completion &amp; Elevate error review
●</v>
      </c>
    </row>
    <row r="6" spans="1:14" s="8" customFormat="1" ht="98">
      <c r="A6" s="14" t="str">
        <f>IF(Activities!$A6&lt;&gt;"",Activities!$A6,"")</f>
        <v>CTE Pathway, Scheduling &amp; Funding</v>
      </c>
      <c r="B6" s="7" t="str">
        <f>IF(Activities!$B6&lt;&gt;"",Activities!$B6,"")</f>
        <v>Unified Funding Application cycle: orientation, troubleshooting, application &amp; purchasing support</v>
      </c>
      <c r="C6" s="7" t="str">
        <f>IF(AND(Activities!$A6&lt;&gt;"",IF(Activities!$E6&lt;&gt;"",ISNUMBER(SEARCH(",1,",","&amp;Activities!$E6&amp;",")),AND(Activities!$C6&lt;=1,Activities!$D6&gt;=1))),IF(Activities!$H6="Coaches","🌱 ",IF(Activities!$H6="Coordinators","⚙️ ",IF(Activities!$H6="Both","👥 ","")))&amp;Activities!$B6&amp;CHAR(10)&amp;REPT("●",Activities!$F6),"")</f>
        <v/>
      </c>
      <c r="D6" s="7" t="str">
        <f>IF(AND(Activities!$A6&lt;&gt;"",IF(Activities!$E6&lt;&gt;"",ISNUMBER(SEARCH(",2,",","&amp;Activities!$E6&amp;",")),AND(Activities!$C6&lt;=2,Activities!$D6&gt;=2))),IF(Activities!$H6="Coaches","🌱 ",IF(Activities!$H6="Coordinators","⚙️ ",IF(Activities!$H6="Both","👥 ","")))&amp;Activities!$B6&amp;CHAR(10)&amp;REPT("●",Activities!$F6),"")</f>
        <v>🌱 Unified Funding Application cycle: orientation, troubleshooting, application &amp; purchasing support
●●</v>
      </c>
      <c r="E6" s="43" t="str">
        <f>IF(AND(Activities!$A6&lt;&gt;"",IF(Activities!$E6&lt;&gt;"",ISNUMBER(SEARCH(",3,",","&amp;Activities!$E6&amp;",")),AND(Activities!$C6&lt;=3,Activities!$D6&gt;=3))),IF(Activities!$H6="Coaches","🌱 ",IF(Activities!$H6="Coordinators","⚙️ ",IF(Activities!$H6="Both","👥 ","")))&amp;Activities!$B6&amp;CHAR(10)&amp;REPT("●",Activities!$F6),"")</f>
        <v>🌱 Unified Funding Application cycle: orientation, troubleshooting, application &amp; purchasing support
●●</v>
      </c>
      <c r="F6" s="43" t="str">
        <f>IF(AND(Activities!$A6&lt;&gt;"",IF(Activities!$E6&lt;&gt;"",ISNUMBER(SEARCH(",4,",","&amp;Activities!$E6&amp;",")),AND(Activities!$C6&lt;=4,Activities!$D6&gt;=4))),IF(Activities!$H6="Coaches","🌱 ",IF(Activities!$H6="Coordinators","⚙️ ",IF(Activities!$H6="Both","👥 ","")))&amp;Activities!$B6&amp;CHAR(10)&amp;REPT("●",Activities!$F6),"")</f>
        <v>🌱 Unified Funding Application cycle: orientation, troubleshooting, application &amp; purchasing support
●●</v>
      </c>
      <c r="G6" s="7" t="str">
        <f>IF(AND(Activities!$A6&lt;&gt;"",IF(Activities!$E6&lt;&gt;"",ISNUMBER(SEARCH(",5,",","&amp;Activities!$E6&amp;",")),AND(Activities!$C6&lt;=5,Activities!$D6&gt;=5))),IF(Activities!$H6="Coaches","🌱 ",IF(Activities!$H6="Coordinators","⚙️ ",IF(Activities!$H6="Both","👥 ","")))&amp;Activities!$B6&amp;CHAR(10)&amp;REPT("●",Activities!$F6),"")</f>
        <v/>
      </c>
      <c r="H6" s="7" t="str">
        <f>IF(AND(Activities!$A6&lt;&gt;"",IF(Activities!$E6&lt;&gt;"",ISNUMBER(SEARCH(",6,",","&amp;Activities!$E6&amp;",")),AND(Activities!$C6&lt;=6,Activities!$D6&gt;=6))),IF(Activities!$H6="Coaches","🌱 ",IF(Activities!$H6="Coordinators","⚙️ ",IF(Activities!$H6="Both","👥 ","")))&amp;Activities!$B6&amp;CHAR(10)&amp;REPT("●",Activities!$F6),"")</f>
        <v/>
      </c>
      <c r="I6" s="44" t="str">
        <f>IF(AND(Activities!$A6&lt;&gt;"",IF(Activities!$E6&lt;&gt;"",ISNUMBER(SEARCH(",7,",","&amp;Activities!$E6&amp;",")),AND(Activities!$C6&lt;=7,Activities!$D6&gt;=7))),IF(Activities!$H6="Coaches","🌱 ",IF(Activities!$H6="Coordinators","⚙️ ",IF(Activities!$H6="Both","👥 ","")))&amp;Activities!$B6&amp;CHAR(10)&amp;REPT("●",Activities!$F6),"")</f>
        <v>🌱 Unified Funding Application cycle: orientation, troubleshooting, application &amp; purchasing support
●●</v>
      </c>
      <c r="J6" s="7" t="str">
        <f>IF(AND(Activities!$A6&lt;&gt;"",IF(Activities!$E6&lt;&gt;"",ISNUMBER(SEARCH(",8,",","&amp;Activities!$E6&amp;",")),AND(Activities!$C6&lt;=8,Activities!$D6&gt;=8))),IF(Activities!$H6="Coaches","🌱 ",IF(Activities!$H6="Coordinators","⚙️ ",IF(Activities!$H6="Both","👥 ","")))&amp;Activities!$B6&amp;CHAR(10)&amp;REPT("●",Activities!$F6),"")</f>
        <v>🌱 Unified Funding Application cycle: orientation, troubleshooting, application &amp; purchasing support
●●</v>
      </c>
      <c r="K6" s="7" t="str">
        <f>IF(AND(Activities!$A6&lt;&gt;"",IF(Activities!$E6&lt;&gt;"",ISNUMBER(SEARCH(",9,",","&amp;Activities!$E6&amp;",")),AND(Activities!$C6&lt;=9,Activities!$D6&gt;=9))),IF(Activities!$H6="Coaches","🌱 ",IF(Activities!$H6="Coordinators","⚙️ ",IF(Activities!$H6="Both","👥 ","")))&amp;Activities!$B6&amp;CHAR(10)&amp;REPT("●",Activities!$F6),"")</f>
        <v>🌱 Unified Funding Application cycle: orientation, troubleshooting, application &amp; purchasing support
●●</v>
      </c>
      <c r="L6" s="7" t="str">
        <f>IF(AND(Activities!$A6&lt;&gt;"",IF(Activities!$E6&lt;&gt;"",ISNUMBER(SEARCH(",10,",","&amp;Activities!$E6&amp;",")),AND(Activities!$C6&lt;=10,Activities!$D6&gt;=10))),IF(Activities!$H6="Coaches","🌱 ",IF(Activities!$H6="Coordinators","⚙️ ",IF(Activities!$H6="Both","👥 ","")))&amp;Activities!$B6&amp;CHAR(10)&amp;REPT("●",Activities!$F6),"")</f>
        <v/>
      </c>
      <c r="M6" s="7" t="str">
        <f>IF(AND(Activities!$A6&lt;&gt;"",IF(Activities!$E6&lt;&gt;"",ISNUMBER(SEARCH(",11,",","&amp;Activities!$E6&amp;",")),AND(Activities!$C6&lt;=11,Activities!$D6&gt;=11))),IF(Activities!$H6="Coaches","🌱 ",IF(Activities!$H6="Coordinators","⚙️ ",IF(Activities!$H6="Both","👥 ","")))&amp;Activities!$B6&amp;CHAR(10)&amp;REPT("●",Activities!$F6),"")</f>
        <v/>
      </c>
      <c r="N6" s="7" t="str">
        <f>IF(AND(Activities!$A6&lt;&gt;"",IF(Activities!$E6&lt;&gt;"",ISNUMBER(SEARCH(",12,",","&amp;Activities!$E6&amp;",")),AND(Activities!$C6&lt;=12,Activities!$D6&gt;=12))),IF(Activities!$H6="Coaches","🌱 ",IF(Activities!$H6="Coordinators","⚙️ ",IF(Activities!$H6="Both","👥 ","")))&amp;Activities!$B6&amp;CHAR(10)&amp;REPT("●",Activities!$F6),"")</f>
        <v>🌱 Unified Funding Application cycle: orientation, troubleshooting, application &amp; purchasing support
●●</v>
      </c>
    </row>
    <row r="7" spans="1:14" s="8" customFormat="1" ht="60">
      <c r="A7" s="14" t="str">
        <f>IF(Activities!$A7&lt;&gt;"",Activities!$A7,"")</f>
        <v>CTE Pathway, Scheduling &amp; Funding</v>
      </c>
      <c r="B7" s="7" t="str">
        <f>IF(Activities!$B7&lt;&gt;"",Activities!$B7,"")</f>
        <v>GSPP planning, implementation &amp; spending support</v>
      </c>
      <c r="C7" s="7" t="str">
        <f>IF(AND(Activities!$A7&lt;&gt;"",IF(Activities!$E7&lt;&gt;"",ISNUMBER(SEARCH(",1,",","&amp;Activities!$E7&amp;",")),AND(Activities!$C7&lt;=1,Activities!$D7&gt;=1))),IF(Activities!$H7="Coaches","🌱 ",IF(Activities!$H7="Coordinators","⚙️ ",IF(Activities!$H7="Both","👥 ","")))&amp;Activities!$B7&amp;CHAR(10)&amp;REPT("●",Activities!$F7),"")</f>
        <v/>
      </c>
      <c r="D7" s="7" t="str">
        <f>IF(AND(Activities!$A7&lt;&gt;"",IF(Activities!$E7&lt;&gt;"",ISNUMBER(SEARCH(",2,",","&amp;Activities!$E7&amp;",")),AND(Activities!$C7&lt;=2,Activities!$D7&gt;=2))),IF(Activities!$H7="Coaches","🌱 ",IF(Activities!$H7="Coordinators","⚙️ ",IF(Activities!$H7="Both","👥 ","")))&amp;Activities!$B7&amp;CHAR(10)&amp;REPT("●",Activities!$F7),"")</f>
        <v/>
      </c>
      <c r="E7" s="44" t="str">
        <f>IF(AND(Activities!$A7&lt;&gt;"",IF(Activities!$E7&lt;&gt;"",ISNUMBER(SEARCH(",3,",","&amp;Activities!$E7&amp;",")),AND(Activities!$C7&lt;=3,Activities!$D7&gt;=3))),IF(Activities!$H7="Coaches","🌱 ",IF(Activities!$H7="Coordinators","⚙️ ",IF(Activities!$H7="Both","👥 ","")))&amp;Activities!$B7&amp;CHAR(10)&amp;REPT("●",Activities!$F7),"")</f>
        <v>🌱 GSPP planning, implementation &amp; spending support
●●</v>
      </c>
      <c r="F7" s="7" t="str">
        <f>IF(AND(Activities!$A7&lt;&gt;"",IF(Activities!$E7&lt;&gt;"",ISNUMBER(SEARCH(",4,",","&amp;Activities!$E7&amp;",")),AND(Activities!$C7&lt;=4,Activities!$D7&gt;=4))),IF(Activities!$H7="Coaches","🌱 ",IF(Activities!$H7="Coordinators","⚙️ ",IF(Activities!$H7="Both","👥 ","")))&amp;Activities!$B7&amp;CHAR(10)&amp;REPT("●",Activities!$F7),"")</f>
        <v/>
      </c>
      <c r="G7" s="7" t="str">
        <f>IF(AND(Activities!$A7&lt;&gt;"",IF(Activities!$E7&lt;&gt;"",ISNUMBER(SEARCH(",5,",","&amp;Activities!$E7&amp;",")),AND(Activities!$C7&lt;=5,Activities!$D7&gt;=5))),IF(Activities!$H7="Coaches","🌱 ",IF(Activities!$H7="Coordinators","⚙️ ",IF(Activities!$H7="Both","👥 ","")))&amp;Activities!$B7&amp;CHAR(10)&amp;REPT("●",Activities!$F7),"")</f>
        <v>🌱 GSPP planning, implementation &amp; spending support
●●</v>
      </c>
      <c r="H7" s="7" t="str">
        <f>IF(AND(Activities!$A7&lt;&gt;"",IF(Activities!$E7&lt;&gt;"",ISNUMBER(SEARCH(",6,",","&amp;Activities!$E7&amp;",")),AND(Activities!$C7&lt;=6,Activities!$D7&gt;=6))),IF(Activities!$H7="Coaches","🌱 ",IF(Activities!$H7="Coordinators","⚙️ ",IF(Activities!$H7="Both","👥 ","")))&amp;Activities!$B7&amp;CHAR(10)&amp;REPT("●",Activities!$F7),"")</f>
        <v>🌱 GSPP planning, implementation &amp; spending support
●●</v>
      </c>
      <c r="I7" s="43" t="str">
        <f>IF(AND(Activities!$A7&lt;&gt;"",IF(Activities!$E7&lt;&gt;"",ISNUMBER(SEARCH(",7,",","&amp;Activities!$E7&amp;",")),AND(Activities!$C7&lt;=7,Activities!$D7&gt;=7))),IF(Activities!$H7="Coaches","🌱 ",IF(Activities!$H7="Coordinators","⚙️ ",IF(Activities!$H7="Both","👥 ","")))&amp;Activities!$B7&amp;CHAR(10)&amp;REPT("●",Activities!$F7),"")</f>
        <v>🌱 GSPP planning, implementation &amp; spending support
●●</v>
      </c>
      <c r="J7" s="43" t="str">
        <f>IF(AND(Activities!$A7&lt;&gt;"",IF(Activities!$E7&lt;&gt;"",ISNUMBER(SEARCH(",8,",","&amp;Activities!$E7&amp;",")),AND(Activities!$C7&lt;=8,Activities!$D7&gt;=8))),IF(Activities!$H7="Coaches","🌱 ",IF(Activities!$H7="Coordinators","⚙️ ",IF(Activities!$H7="Both","👥 ","")))&amp;Activities!$B7&amp;CHAR(10)&amp;REPT("●",Activities!$F7),"")</f>
        <v>🌱 GSPP planning, implementation &amp; spending support
●●</v>
      </c>
      <c r="K7" s="7" t="str">
        <f>IF(AND(Activities!$A7&lt;&gt;"",IF(Activities!$E7&lt;&gt;"",ISNUMBER(SEARCH(",9,",","&amp;Activities!$E7&amp;",")),AND(Activities!$C7&lt;=9,Activities!$D7&gt;=9))),IF(Activities!$H7="Coaches","🌱 ",IF(Activities!$H7="Coordinators","⚙️ ",IF(Activities!$H7="Both","👥 ","")))&amp;Activities!$B7&amp;CHAR(10)&amp;REPT("●",Activities!$F7),"")</f>
        <v>🌱 GSPP planning, implementation &amp; spending support
●●</v>
      </c>
      <c r="L7" s="7" t="str">
        <f>IF(AND(Activities!$A7&lt;&gt;"",IF(Activities!$E7&lt;&gt;"",ISNUMBER(SEARCH(",10,",","&amp;Activities!$E7&amp;",")),AND(Activities!$C7&lt;=10,Activities!$D7&gt;=10))),IF(Activities!$H7="Coaches","🌱 ",IF(Activities!$H7="Coordinators","⚙️ ",IF(Activities!$H7="Both","👥 ","")))&amp;Activities!$B7&amp;CHAR(10)&amp;REPT("●",Activities!$F7),"")</f>
        <v/>
      </c>
      <c r="M7" s="7" t="str">
        <f>IF(AND(Activities!$A7&lt;&gt;"",IF(Activities!$E7&lt;&gt;"",ISNUMBER(SEARCH(",11,",","&amp;Activities!$E7&amp;",")),AND(Activities!$C7&lt;=11,Activities!$D7&gt;=11))),IF(Activities!$H7="Coaches","🌱 ",IF(Activities!$H7="Coordinators","⚙️ ",IF(Activities!$H7="Both","👥 ","")))&amp;Activities!$B7&amp;CHAR(10)&amp;REPT("●",Activities!$F7),"")</f>
        <v>🌱 GSPP planning, implementation &amp; spending support
●●</v>
      </c>
      <c r="N7" s="44" t="str">
        <f>IF(AND(Activities!$A7&lt;&gt;"",IF(Activities!$E7&lt;&gt;"",ISNUMBER(SEARCH(",12,",","&amp;Activities!$E7&amp;",")),AND(Activities!$C7&lt;=12,Activities!$D7&gt;=12))),IF(Activities!$H7="Coaches","🌱 ",IF(Activities!$H7="Coordinators","⚙️ ",IF(Activities!$H7="Both","👥 ","")))&amp;Activities!$B7&amp;CHAR(10)&amp;REPT("●",Activities!$F7),"")</f>
        <v>🌱 GSPP planning, implementation &amp; spending support
●●</v>
      </c>
    </row>
    <row r="8" spans="1:14" s="8" customFormat="1" ht="60">
      <c r="A8" s="14" t="str">
        <f>IF(Activities!$A8&lt;&gt;"",Activities!$A8,"")</f>
        <v>CTE Pathway, Scheduling &amp; Funding</v>
      </c>
      <c r="B8" s="7" t="str">
        <f>IF(Activities!$B8&lt;&gt;"",Activities!$B8,"")</f>
        <v>Course equivalencies development</v>
      </c>
      <c r="C8" s="7" t="str">
        <f>IF(AND(Activities!$A8&lt;&gt;"",IF(Activities!$E8&lt;&gt;"",ISNUMBER(SEARCH(",1,",","&amp;Activities!$E8&amp;",")),AND(Activities!$C8&lt;=1,Activities!$D8&gt;=1))),IF(Activities!$H8="Coaches","🌱 ",IF(Activities!$H8="Coordinators","⚙️ ",IF(Activities!$H8="Both","👥 ","")))&amp;Activities!$B8&amp;CHAR(10)&amp;REPT("●",Activities!$F8),"")</f>
        <v/>
      </c>
      <c r="D8" s="7" t="str">
        <f>IF(AND(Activities!$A8&lt;&gt;"",IF(Activities!$E8&lt;&gt;"",ISNUMBER(SEARCH(",2,",","&amp;Activities!$E8&amp;",")),AND(Activities!$C8&lt;=2,Activities!$D8&gt;=2))),IF(Activities!$H8="Coaches","🌱 ",IF(Activities!$H8="Coordinators","⚙️ ",IF(Activities!$H8="Both","👥 ","")))&amp;Activities!$B8&amp;CHAR(10)&amp;REPT("●",Activities!$F8),"")</f>
        <v>🌱 Course equivalencies development
●●</v>
      </c>
      <c r="E8" s="7" t="str">
        <f>IF(AND(Activities!$A8&lt;&gt;"",IF(Activities!$E8&lt;&gt;"",ISNUMBER(SEARCH(",3,",","&amp;Activities!$E8&amp;",")),AND(Activities!$C8&lt;=3,Activities!$D8&gt;=3))),IF(Activities!$H8="Coaches","🌱 ",IF(Activities!$H8="Coordinators","⚙️ ",IF(Activities!$H8="Both","👥 ","")))&amp;Activities!$B8&amp;CHAR(10)&amp;REPT("●",Activities!$F8),"")</f>
        <v>🌱 Course equivalencies development
●●</v>
      </c>
      <c r="F8" s="7" t="str">
        <f>IF(AND(Activities!$A8&lt;&gt;"",IF(Activities!$E8&lt;&gt;"",ISNUMBER(SEARCH(",4,",","&amp;Activities!$E8&amp;",")),AND(Activities!$C8&lt;=4,Activities!$D8&gt;=4))),IF(Activities!$H8="Coaches","🌱 ",IF(Activities!$H8="Coordinators","⚙️ ",IF(Activities!$H8="Both","👥 ","")))&amp;Activities!$B8&amp;CHAR(10)&amp;REPT("●",Activities!$F8),"")</f>
        <v>🌱 Course equivalencies development
●●</v>
      </c>
      <c r="G8" s="7" t="str">
        <f>IF(AND(Activities!$A8&lt;&gt;"",IF(Activities!$E8&lt;&gt;"",ISNUMBER(SEARCH(",5,",","&amp;Activities!$E8&amp;",")),AND(Activities!$C8&lt;=5,Activities!$D8&gt;=5))),IF(Activities!$H8="Coaches","🌱 ",IF(Activities!$H8="Coordinators","⚙️ ",IF(Activities!$H8="Both","👥 ","")))&amp;Activities!$B8&amp;CHAR(10)&amp;REPT("●",Activities!$F8),"")</f>
        <v>🌱 Course equivalencies development
●●</v>
      </c>
      <c r="H8" s="7" t="str">
        <f>IF(AND(Activities!$A8&lt;&gt;"",IF(Activities!$E8&lt;&gt;"",ISNUMBER(SEARCH(",6,",","&amp;Activities!$E8&amp;",")),AND(Activities!$C8&lt;=6,Activities!$D8&gt;=6))),IF(Activities!$H8="Coaches","🌱 ",IF(Activities!$H8="Coordinators","⚙️ ",IF(Activities!$H8="Both","👥 ","")))&amp;Activities!$B8&amp;CHAR(10)&amp;REPT("●",Activities!$F8),"")</f>
        <v/>
      </c>
      <c r="I8" s="7" t="str">
        <f>IF(AND(Activities!$A8&lt;&gt;"",IF(Activities!$E8&lt;&gt;"",ISNUMBER(SEARCH(",7,",","&amp;Activities!$E8&amp;",")),AND(Activities!$C8&lt;=7,Activities!$D8&gt;=7))),IF(Activities!$H8="Coaches","🌱 ",IF(Activities!$H8="Coordinators","⚙️ ",IF(Activities!$H8="Both","👥 ","")))&amp;Activities!$B8&amp;CHAR(10)&amp;REPT("●",Activities!$F8),"")</f>
        <v/>
      </c>
      <c r="J8" s="7" t="str">
        <f>IF(AND(Activities!$A8&lt;&gt;"",IF(Activities!$E8&lt;&gt;"",ISNUMBER(SEARCH(",8,",","&amp;Activities!$E8&amp;",")),AND(Activities!$C8&lt;=8,Activities!$D8&gt;=8))),IF(Activities!$H8="Coaches","🌱 ",IF(Activities!$H8="Coordinators","⚙️ ",IF(Activities!$H8="Both","👥 ","")))&amp;Activities!$B8&amp;CHAR(10)&amp;REPT("●",Activities!$F8),"")</f>
        <v/>
      </c>
      <c r="K8" s="7" t="str">
        <f>IF(AND(Activities!$A8&lt;&gt;"",IF(Activities!$E8&lt;&gt;"",ISNUMBER(SEARCH(",9,",","&amp;Activities!$E8&amp;",")),AND(Activities!$C8&lt;=9,Activities!$D8&gt;=9))),IF(Activities!$H8="Coaches","🌱 ",IF(Activities!$H8="Coordinators","⚙️ ",IF(Activities!$H8="Both","👥 ","")))&amp;Activities!$B8&amp;CHAR(10)&amp;REPT("●",Activities!$F8),"")</f>
        <v/>
      </c>
      <c r="L8" s="7" t="str">
        <f>IF(AND(Activities!$A8&lt;&gt;"",IF(Activities!$E8&lt;&gt;"",ISNUMBER(SEARCH(",10,",","&amp;Activities!$E8&amp;",")),AND(Activities!$C8&lt;=10,Activities!$D8&gt;=10))),IF(Activities!$H8="Coaches","🌱 ",IF(Activities!$H8="Coordinators","⚙️ ",IF(Activities!$H8="Both","👥 ","")))&amp;Activities!$B8&amp;CHAR(10)&amp;REPT("●",Activities!$F8),"")</f>
        <v/>
      </c>
      <c r="M8" s="7" t="str">
        <f>IF(AND(Activities!$A8&lt;&gt;"",IF(Activities!$E8&lt;&gt;"",ISNUMBER(SEARCH(",11,",","&amp;Activities!$E8&amp;",")),AND(Activities!$C8&lt;=11,Activities!$D8&gt;=11))),IF(Activities!$H8="Coaches","🌱 ",IF(Activities!$H8="Coordinators","⚙️ ",IF(Activities!$H8="Both","👥 ","")))&amp;Activities!$B8&amp;CHAR(10)&amp;REPT("●",Activities!$F8),"")</f>
        <v/>
      </c>
      <c r="N8" s="7" t="str">
        <f>IF(AND(Activities!$A8&lt;&gt;"",IF(Activities!$E8&lt;&gt;"",ISNUMBER(SEARCH(",12,",","&amp;Activities!$E8&amp;",")),AND(Activities!$C8&lt;=12,Activities!$D8&gt;=12))),IF(Activities!$H8="Coaches","🌱 ",IF(Activities!$H8="Coordinators","⚙️ ",IF(Activities!$H8="Both","👥 ","")))&amp;Activities!$B8&amp;CHAR(10)&amp;REPT("●",Activities!$F8),"")</f>
        <v/>
      </c>
    </row>
    <row r="9" spans="1:14" s="8" customFormat="1" ht="60">
      <c r="A9" s="14" t="str">
        <f>IF(Activities!$A9&lt;&gt;"",Activities!$A9,"")</f>
        <v>Instructional Design, PBL &amp; Defenses</v>
      </c>
      <c r="B9" s="7" t="str">
        <f>IF(Activities!$B9&lt;&gt;"",Activities!$B9,"")</f>
        <v>PBL/HQIM annual planning, pilot reflection &amp; improvement design</v>
      </c>
      <c r="C9" s="7" t="str">
        <f>IF(AND(Activities!$A9&lt;&gt;"",IF(Activities!$E9&lt;&gt;"",ISNUMBER(SEARCH(",1,",","&amp;Activities!$E9&amp;",")),AND(Activities!$C9&lt;=1,Activities!$D9&gt;=1))),IF(Activities!$H9="Coaches","🌱 ",IF(Activities!$H9="Coordinators","⚙️ ",IF(Activities!$H9="Both","👥 ","")))&amp;Activities!$B9&amp;CHAR(10)&amp;REPT("●",Activities!$F9),"")</f>
        <v/>
      </c>
      <c r="D9" s="7" t="str">
        <f>IF(AND(Activities!$A9&lt;&gt;"",IF(Activities!$E9&lt;&gt;"",ISNUMBER(SEARCH(",2,",","&amp;Activities!$E9&amp;",")),AND(Activities!$C9&lt;=2,Activities!$D9&gt;=2))),IF(Activities!$H9="Coaches","🌱 ",IF(Activities!$H9="Coordinators","⚙️ ",IF(Activities!$H9="Both","👥 ","")))&amp;Activities!$B9&amp;CHAR(10)&amp;REPT("●",Activities!$F9),"")</f>
        <v/>
      </c>
      <c r="E9" s="7" t="str">
        <f>IF(AND(Activities!$A9&lt;&gt;"",IF(Activities!$E9&lt;&gt;"",ISNUMBER(SEARCH(",3,",","&amp;Activities!$E9&amp;",")),AND(Activities!$C9&lt;=3,Activities!$D9&gt;=3))),IF(Activities!$H9="Coaches","🌱 ",IF(Activities!$H9="Coordinators","⚙️ ",IF(Activities!$H9="Both","👥 ","")))&amp;Activities!$B9&amp;CHAR(10)&amp;REPT("●",Activities!$F9),"")</f>
        <v/>
      </c>
      <c r="F9" s="7" t="str">
        <f>IF(AND(Activities!$A9&lt;&gt;"",IF(Activities!$E9&lt;&gt;"",ISNUMBER(SEARCH(",4,",","&amp;Activities!$E9&amp;",")),AND(Activities!$C9&lt;=4,Activities!$D9&gt;=4))),IF(Activities!$H9="Coaches","🌱 ",IF(Activities!$H9="Coordinators","⚙️ ",IF(Activities!$H9="Both","👥 ","")))&amp;Activities!$B9&amp;CHAR(10)&amp;REPT("●",Activities!$F9),"")</f>
        <v/>
      </c>
      <c r="G9" s="7" t="str">
        <f>IF(AND(Activities!$A9&lt;&gt;"",IF(Activities!$E9&lt;&gt;"",ISNUMBER(SEARCH(",5,",","&amp;Activities!$E9&amp;",")),AND(Activities!$C9&lt;=5,Activities!$D9&gt;=5))),IF(Activities!$H9="Coaches","🌱 ",IF(Activities!$H9="Coordinators","⚙️ ",IF(Activities!$H9="Both","👥 ","")))&amp;Activities!$B9&amp;CHAR(10)&amp;REPT("●",Activities!$F9),"")</f>
        <v/>
      </c>
      <c r="H9" s="7" t="str">
        <f>IF(AND(Activities!$A9&lt;&gt;"",IF(Activities!$E9&lt;&gt;"",ISNUMBER(SEARCH(",6,",","&amp;Activities!$E9&amp;",")),AND(Activities!$C9&lt;=6,Activities!$D9&gt;=6))),IF(Activities!$H9="Coaches","🌱 ",IF(Activities!$H9="Coordinators","⚙️ ",IF(Activities!$H9="Both","👥 ","")))&amp;Activities!$B9&amp;CHAR(10)&amp;REPT("●",Activities!$F9),"")</f>
        <v/>
      </c>
      <c r="I9" s="7" t="str">
        <f>IF(AND(Activities!$A9&lt;&gt;"",IF(Activities!$E9&lt;&gt;"",ISNUMBER(SEARCH(",7,",","&amp;Activities!$E9&amp;",")),AND(Activities!$C9&lt;=7,Activities!$D9&gt;=7))),IF(Activities!$H9="Coaches","🌱 ",IF(Activities!$H9="Coordinators","⚙️ ",IF(Activities!$H9="Both","👥 ","")))&amp;Activities!$B9&amp;CHAR(10)&amp;REPT("●",Activities!$F9),"")</f>
        <v/>
      </c>
      <c r="J9" s="7" t="str">
        <f>IF(AND(Activities!$A9&lt;&gt;"",IF(Activities!$E9&lt;&gt;"",ISNUMBER(SEARCH(",8,",","&amp;Activities!$E9&amp;",")),AND(Activities!$C9&lt;=8,Activities!$D9&gt;=8))),IF(Activities!$H9="Coaches","🌱 ",IF(Activities!$H9="Coordinators","⚙️ ",IF(Activities!$H9="Both","👥 ","")))&amp;Activities!$B9&amp;CHAR(10)&amp;REPT("●",Activities!$F9),"")</f>
        <v/>
      </c>
      <c r="K9" s="7" t="str">
        <f>IF(AND(Activities!$A9&lt;&gt;"",IF(Activities!$E9&lt;&gt;"",ISNUMBER(SEARCH(",9,",","&amp;Activities!$E9&amp;",")),AND(Activities!$C9&lt;=9,Activities!$D9&gt;=9))),IF(Activities!$H9="Coaches","🌱 ",IF(Activities!$H9="Coordinators","⚙️ ",IF(Activities!$H9="Both","👥 ","")))&amp;Activities!$B9&amp;CHAR(10)&amp;REPT("●",Activities!$F9),"")</f>
        <v/>
      </c>
      <c r="L9" s="7" t="str">
        <f>IF(AND(Activities!$A9&lt;&gt;"",IF(Activities!$E9&lt;&gt;"",ISNUMBER(SEARCH(",10,",","&amp;Activities!$E9&amp;",")),AND(Activities!$C9&lt;=10,Activities!$D9&gt;=10))),IF(Activities!$H9="Coaches","🌱 ",IF(Activities!$H9="Coordinators","⚙️ ",IF(Activities!$H9="Both","👥 ","")))&amp;Activities!$B9&amp;CHAR(10)&amp;REPT("●",Activities!$F9),"")</f>
        <v/>
      </c>
      <c r="M9" s="7" t="str">
        <f>IF(AND(Activities!$A9&lt;&gt;"",IF(Activities!$E9&lt;&gt;"",ISNUMBER(SEARCH(",11,",","&amp;Activities!$E9&amp;",")),AND(Activities!$C9&lt;=11,Activities!$D9&gt;=11))),IF(Activities!$H9="Coaches","🌱 ",IF(Activities!$H9="Coordinators","⚙️ ",IF(Activities!$H9="Both","👥 ","")))&amp;Activities!$B9&amp;CHAR(10)&amp;REPT("●",Activities!$F9),"")</f>
        <v>🌱 PBL/HQIM annual planning, pilot reflection &amp; improvement design
●</v>
      </c>
      <c r="N9" s="7" t="str">
        <f>IF(AND(Activities!$A9&lt;&gt;"",IF(Activities!$E9&lt;&gt;"",ISNUMBER(SEARCH(",12,",","&amp;Activities!$E9&amp;",")),AND(Activities!$C9&lt;=12,Activities!$D9&gt;=12))),IF(Activities!$H9="Coaches","🌱 ",IF(Activities!$H9="Coordinators","⚙️ ",IF(Activities!$H9="Both","👥 ","")))&amp;Activities!$B9&amp;CHAR(10)&amp;REPT("●",Activities!$F9),"")</f>
        <v>🌱 PBL/HQIM annual planning, pilot reflection &amp; improvement design
●</v>
      </c>
    </row>
    <row r="10" spans="1:14" s="8" customFormat="1" ht="60">
      <c r="A10" s="14" t="str">
        <f>IF(Activities!$A10&lt;&gt;"",Activities!$A10,"")</f>
        <v>Instructional Design, PBL &amp; Defenses</v>
      </c>
      <c r="B10" s="7" t="str">
        <f>IF(Activities!$B10&lt;&gt;"",Activities!$B10,"")</f>
        <v>PBL/HQIM school-site coaching and professional learning</v>
      </c>
      <c r="C10" s="7" t="str">
        <f>IF(AND(Activities!$A10&lt;&gt;"",IF(Activities!$E10&lt;&gt;"",ISNUMBER(SEARCH(",1,",","&amp;Activities!$E10&amp;",")),AND(Activities!$C10&lt;=1,Activities!$D10&gt;=1))),IF(Activities!$H10="Coaches","🌱 ",IF(Activities!$H10="Coordinators","⚙️ ",IF(Activities!$H10="Both","👥 ","")))&amp;Activities!$B10&amp;CHAR(10)&amp;REPT("●",Activities!$F10),"")</f>
        <v/>
      </c>
      <c r="D10" s="7" t="str">
        <f>IF(AND(Activities!$A10&lt;&gt;"",IF(Activities!$E10&lt;&gt;"",ISNUMBER(SEARCH(",2,",","&amp;Activities!$E10&amp;",")),AND(Activities!$C10&lt;=2,Activities!$D10&gt;=2))),IF(Activities!$H10="Coaches","🌱 ",IF(Activities!$H10="Coordinators","⚙️ ",IF(Activities!$H10="Both","👥 ","")))&amp;Activities!$B10&amp;CHAR(10)&amp;REPT("●",Activities!$F10),"")</f>
        <v/>
      </c>
      <c r="E10" s="43" t="str">
        <f>IF(AND(Activities!$A10&lt;&gt;"",IF(Activities!$E10&lt;&gt;"",ISNUMBER(SEARCH(",3,",","&amp;Activities!$E10&amp;",")),AND(Activities!$C10&lt;=3,Activities!$D10&gt;=3))),IF(Activities!$H10="Coaches","🌱 ",IF(Activities!$H10="Coordinators","⚙️ ",IF(Activities!$H10="Both","👥 ","")))&amp;Activities!$B10&amp;CHAR(10)&amp;REPT("●",Activities!$F10),"")</f>
        <v>🌱 PBL/HQIM school-site coaching and professional learning
●●●</v>
      </c>
      <c r="F10" s="43" t="str">
        <f>IF(AND(Activities!$A10&lt;&gt;"",IF(Activities!$E10&lt;&gt;"",ISNUMBER(SEARCH(",4,",","&amp;Activities!$E10&amp;",")),AND(Activities!$C10&lt;=4,Activities!$D10&gt;=4))),IF(Activities!$H10="Coaches","🌱 ",IF(Activities!$H10="Coordinators","⚙️ ",IF(Activities!$H10="Both","👥 ","")))&amp;Activities!$B10&amp;CHAR(10)&amp;REPT("●",Activities!$F10),"")</f>
        <v>🌱 PBL/HQIM school-site coaching and professional learning
●●●</v>
      </c>
      <c r="G10" s="7" t="str">
        <f>IF(AND(Activities!$A10&lt;&gt;"",IF(Activities!$E10&lt;&gt;"",ISNUMBER(SEARCH(",5,",","&amp;Activities!$E10&amp;",")),AND(Activities!$C10&lt;=5,Activities!$D10&gt;=5))),IF(Activities!$H10="Coaches","🌱 ",IF(Activities!$H10="Coordinators","⚙️ ",IF(Activities!$H10="Both","👥 ","")))&amp;Activities!$B10&amp;CHAR(10)&amp;REPT("●",Activities!$F10),"")</f>
        <v>🌱 PBL/HQIM school-site coaching and professional learning
●●●</v>
      </c>
      <c r="H10" s="7" t="str">
        <f>IF(AND(Activities!$A10&lt;&gt;"",IF(Activities!$E10&lt;&gt;"",ISNUMBER(SEARCH(",6,",","&amp;Activities!$E10&amp;",")),AND(Activities!$C10&lt;=6,Activities!$D10&gt;=6))),IF(Activities!$H10="Coaches","🌱 ",IF(Activities!$H10="Coordinators","⚙️ ",IF(Activities!$H10="Both","👥 ","")))&amp;Activities!$B10&amp;CHAR(10)&amp;REPT("●",Activities!$F10),"")</f>
        <v>🌱 PBL/HQIM school-site coaching and professional learning
●●●</v>
      </c>
      <c r="I10" s="44" t="str">
        <f>IF(AND(Activities!$A10&lt;&gt;"",IF(Activities!$E10&lt;&gt;"",ISNUMBER(SEARCH(",7,",","&amp;Activities!$E10&amp;",")),AND(Activities!$C10&lt;=7,Activities!$D10&gt;=7))),IF(Activities!$H10="Coaches","🌱 ",IF(Activities!$H10="Coordinators","⚙️ ",IF(Activities!$H10="Both","👥 ","")))&amp;Activities!$B10&amp;CHAR(10)&amp;REPT("●",Activities!$F10),"")</f>
        <v>🌱 PBL/HQIM school-site coaching and professional learning
●●●</v>
      </c>
      <c r="J10" s="7" t="str">
        <f>IF(AND(Activities!$A10&lt;&gt;"",IF(Activities!$E10&lt;&gt;"",ISNUMBER(SEARCH(",8,",","&amp;Activities!$E10&amp;",")),AND(Activities!$C10&lt;=8,Activities!$D10&gt;=8))),IF(Activities!$H10="Coaches","🌱 ",IF(Activities!$H10="Coordinators","⚙️ ",IF(Activities!$H10="Both","👥 ","")))&amp;Activities!$B10&amp;CHAR(10)&amp;REPT("●",Activities!$F10),"")</f>
        <v>🌱 PBL/HQIM school-site coaching and professional learning
●●●</v>
      </c>
      <c r="K10" s="7" t="str">
        <f>IF(AND(Activities!$A10&lt;&gt;"",IF(Activities!$E10&lt;&gt;"",ISNUMBER(SEARCH(",9,",","&amp;Activities!$E10&amp;",")),AND(Activities!$C10&lt;=9,Activities!$D10&gt;=9))),IF(Activities!$H10="Coaches","🌱 ",IF(Activities!$H10="Coordinators","⚙️ ",IF(Activities!$H10="Both","👥 ","")))&amp;Activities!$B10&amp;CHAR(10)&amp;REPT("●",Activities!$F10),"")</f>
        <v>🌱 PBL/HQIM school-site coaching and professional learning
●●●</v>
      </c>
      <c r="L10" s="7" t="str">
        <f>IF(AND(Activities!$A10&lt;&gt;"",IF(Activities!$E10&lt;&gt;"",ISNUMBER(SEARCH(",10,",","&amp;Activities!$E10&amp;",")),AND(Activities!$C10&lt;=10,Activities!$D10&gt;=10))),IF(Activities!$H10="Coaches","🌱 ",IF(Activities!$H10="Coordinators","⚙️ ",IF(Activities!$H10="Both","👥 ","")))&amp;Activities!$B10&amp;CHAR(10)&amp;REPT("●",Activities!$F10),"")</f>
        <v/>
      </c>
      <c r="M10" s="7" t="str">
        <f>IF(AND(Activities!$A10&lt;&gt;"",IF(Activities!$E10&lt;&gt;"",ISNUMBER(SEARCH(",11,",","&amp;Activities!$E10&amp;",")),AND(Activities!$C10&lt;=11,Activities!$D10&gt;=11))),IF(Activities!$H10="Coaches","🌱 ",IF(Activities!$H10="Coordinators","⚙️ ",IF(Activities!$H10="Both","👥 ","")))&amp;Activities!$B10&amp;CHAR(10)&amp;REPT("●",Activities!$F10),"")</f>
        <v/>
      </c>
      <c r="N10" s="7" t="str">
        <f>IF(AND(Activities!$A10&lt;&gt;"",IF(Activities!$E10&lt;&gt;"",ISNUMBER(SEARCH(",12,",","&amp;Activities!$E10&amp;",")),AND(Activities!$C10&lt;=12,Activities!$D10&gt;=12))),IF(Activities!$H10="Coaches","🌱 ",IF(Activities!$H10="Coordinators","⚙️ ",IF(Activities!$H10="Both","👥 ","")))&amp;Activities!$B10&amp;CHAR(10)&amp;REPT("●",Activities!$F10),"")</f>
        <v/>
      </c>
    </row>
    <row r="11" spans="1:14" s="8" customFormat="1" ht="60">
      <c r="A11" s="14" t="str">
        <f>IF(Activities!$A11&lt;&gt;"",Activities!$A11,"")</f>
        <v>Instructional Design, PBL &amp; Defenses</v>
      </c>
      <c r="B11" s="7" t="str">
        <f>IF(Activities!$B11&lt;&gt;"",Activities!$B11,"")</f>
        <v>Linked Learning onboarding / August PBL professional learning</v>
      </c>
      <c r="C11" s="7" t="str">
        <f>IF(AND(Activities!$A11&lt;&gt;"",IF(Activities!$E11&lt;&gt;"",ISNUMBER(SEARCH(",1,",","&amp;Activities!$E11&amp;",")),AND(Activities!$C11&lt;=1,Activities!$D11&gt;=1))),IF(Activities!$H11="Coaches","🌱 ",IF(Activities!$H11="Coordinators","⚙️ ",IF(Activities!$H11="Both","👥 ","")))&amp;Activities!$B11&amp;CHAR(10)&amp;REPT("●",Activities!$F11),"")</f>
        <v/>
      </c>
      <c r="D11" s="7" t="str">
        <f>IF(AND(Activities!$A11&lt;&gt;"",IF(Activities!$E11&lt;&gt;"",ISNUMBER(SEARCH(",2,",","&amp;Activities!$E11&amp;",")),AND(Activities!$C11&lt;=2,Activities!$D11&gt;=2))),IF(Activities!$H11="Coaches","🌱 ",IF(Activities!$H11="Coordinators","⚙️ ",IF(Activities!$H11="Both","👥 ","")))&amp;Activities!$B11&amp;CHAR(10)&amp;REPT("●",Activities!$F11),"")</f>
        <v>🌱 Linked Learning onboarding / August PBL professional learning
●●</v>
      </c>
      <c r="E11" s="7" t="str">
        <f>IF(AND(Activities!$A11&lt;&gt;"",IF(Activities!$E11&lt;&gt;"",ISNUMBER(SEARCH(",3,",","&amp;Activities!$E11&amp;",")),AND(Activities!$C11&lt;=3,Activities!$D11&gt;=3))),IF(Activities!$H11="Coaches","🌱 ",IF(Activities!$H11="Coordinators","⚙️ ",IF(Activities!$H11="Both","👥 ","")))&amp;Activities!$B11&amp;CHAR(10)&amp;REPT("●",Activities!$F11),"")</f>
        <v/>
      </c>
      <c r="F11" s="7" t="str">
        <f>IF(AND(Activities!$A11&lt;&gt;"",IF(Activities!$E11&lt;&gt;"",ISNUMBER(SEARCH(",4,",","&amp;Activities!$E11&amp;",")),AND(Activities!$C11&lt;=4,Activities!$D11&gt;=4))),IF(Activities!$H11="Coaches","🌱 ",IF(Activities!$H11="Coordinators","⚙️ ",IF(Activities!$H11="Both","👥 ","")))&amp;Activities!$B11&amp;CHAR(10)&amp;REPT("●",Activities!$F11),"")</f>
        <v/>
      </c>
      <c r="G11" s="43" t="str">
        <f>IF(AND(Activities!$A11&lt;&gt;"",IF(Activities!$E11&lt;&gt;"",ISNUMBER(SEARCH(",5,",","&amp;Activities!$E11&amp;",")),AND(Activities!$C11&lt;=5,Activities!$D11&gt;=5))),IF(Activities!$H11="Coaches","🌱 ",IF(Activities!$H11="Coordinators","⚙️ ",IF(Activities!$H11="Both","👥 ","")))&amp;Activities!$B11&amp;CHAR(10)&amp;REPT("●",Activities!$F11),"")</f>
        <v/>
      </c>
      <c r="H11" s="43" t="str">
        <f>IF(AND(Activities!$A11&lt;&gt;"",IF(Activities!$E11&lt;&gt;"",ISNUMBER(SEARCH(",6,",","&amp;Activities!$E11&amp;",")),AND(Activities!$C11&lt;=6,Activities!$D11&gt;=6))),IF(Activities!$H11="Coaches","🌱 ",IF(Activities!$H11="Coordinators","⚙️ ",IF(Activities!$H11="Both","👥 ","")))&amp;Activities!$B11&amp;CHAR(10)&amp;REPT("●",Activities!$F11),"")</f>
        <v/>
      </c>
      <c r="I11" s="7" t="str">
        <f>IF(AND(Activities!$A11&lt;&gt;"",IF(Activities!$E11&lt;&gt;"",ISNUMBER(SEARCH(",7,",","&amp;Activities!$E11&amp;",")),AND(Activities!$C11&lt;=7,Activities!$D11&gt;=7))),IF(Activities!$H11="Coaches","🌱 ",IF(Activities!$H11="Coordinators","⚙️ ",IF(Activities!$H11="Both","👥 ","")))&amp;Activities!$B11&amp;CHAR(10)&amp;REPT("●",Activities!$F11),"")</f>
        <v/>
      </c>
      <c r="J11" s="7" t="str">
        <f>IF(AND(Activities!$A11&lt;&gt;"",IF(Activities!$E11&lt;&gt;"",ISNUMBER(SEARCH(",8,",","&amp;Activities!$E11&amp;",")),AND(Activities!$C11&lt;=8,Activities!$D11&gt;=8))),IF(Activities!$H11="Coaches","🌱 ",IF(Activities!$H11="Coordinators","⚙️ ",IF(Activities!$H11="Both","👥 ","")))&amp;Activities!$B11&amp;CHAR(10)&amp;REPT("●",Activities!$F11),"")</f>
        <v/>
      </c>
      <c r="K11" s="7" t="str">
        <f>IF(AND(Activities!$A11&lt;&gt;"",IF(Activities!$E11&lt;&gt;"",ISNUMBER(SEARCH(",9,",","&amp;Activities!$E11&amp;",")),AND(Activities!$C11&lt;=9,Activities!$D11&gt;=9))),IF(Activities!$H11="Coaches","🌱 ",IF(Activities!$H11="Coordinators","⚙️ ",IF(Activities!$H11="Both","👥 ","")))&amp;Activities!$B11&amp;CHAR(10)&amp;REPT("●",Activities!$F11),"")</f>
        <v/>
      </c>
      <c r="L11" s="7" t="str">
        <f>IF(AND(Activities!$A11&lt;&gt;"",IF(Activities!$E11&lt;&gt;"",ISNUMBER(SEARCH(",10,",","&amp;Activities!$E11&amp;",")),AND(Activities!$C11&lt;=10,Activities!$D11&gt;=10))),IF(Activities!$H11="Coaches","🌱 ",IF(Activities!$H11="Coordinators","⚙️ ",IF(Activities!$H11="Both","👥 ","")))&amp;Activities!$B11&amp;CHAR(10)&amp;REPT("●",Activities!$F11),"")</f>
        <v/>
      </c>
      <c r="M11" s="7" t="str">
        <f>IF(AND(Activities!$A11&lt;&gt;"",IF(Activities!$E11&lt;&gt;"",ISNUMBER(SEARCH(",11,",","&amp;Activities!$E11&amp;",")),AND(Activities!$C11&lt;=11,Activities!$D11&gt;=11))),IF(Activities!$H11="Coaches","🌱 ",IF(Activities!$H11="Coordinators","⚙️ ",IF(Activities!$H11="Both","👥 ","")))&amp;Activities!$B11&amp;CHAR(10)&amp;REPT("●",Activities!$F11),"")</f>
        <v/>
      </c>
      <c r="N11" s="44" t="str">
        <f>IF(AND(Activities!$A11&lt;&gt;"",IF(Activities!$E11&lt;&gt;"",ISNUMBER(SEARCH(",12,",","&amp;Activities!$E11&amp;",")),AND(Activities!$C11&lt;=12,Activities!$D11&gt;=12))),IF(Activities!$H11="Coaches","🌱 ",IF(Activities!$H11="Coordinators","⚙️ ",IF(Activities!$H11="Both","👥 ","")))&amp;Activities!$B11&amp;CHAR(10)&amp;REPT("●",Activities!$F11),"")</f>
        <v/>
      </c>
    </row>
    <row r="12" spans="1:14" s="8" customFormat="1" ht="60">
      <c r="A12" s="14" t="str">
        <f>IF(Activities!$A12&lt;&gt;"",Activities!$A12,"")</f>
        <v>Instructional Design, PBL &amp; Defenses</v>
      </c>
      <c r="B12" s="7" t="str">
        <f>IF(Activities!$B12&lt;&gt;"",Activities!$B12,"")</f>
        <v>PBL 101 / fall instructional training</v>
      </c>
      <c r="C12" s="7" t="str">
        <f>IF(AND(Activities!$A12&lt;&gt;"",IF(Activities!$E12&lt;&gt;"",ISNUMBER(SEARCH(",1,",","&amp;Activities!$E12&amp;",")),AND(Activities!$C12&lt;=1,Activities!$D12&gt;=1))),IF(Activities!$H12="Coaches","🌱 ",IF(Activities!$H12="Coordinators","⚙️ ",IF(Activities!$H12="Both","👥 ","")))&amp;Activities!$B12&amp;CHAR(10)&amp;REPT("●",Activities!$F12),"")</f>
        <v/>
      </c>
      <c r="D12" s="7" t="str">
        <f>IF(AND(Activities!$A12&lt;&gt;"",IF(Activities!$E12&lt;&gt;"",ISNUMBER(SEARCH(",2,",","&amp;Activities!$E12&amp;",")),AND(Activities!$C12&lt;=2,Activities!$D12&gt;=2))),IF(Activities!$H12="Coaches","🌱 ",IF(Activities!$H12="Coordinators","⚙️ ",IF(Activities!$H12="Both","👥 ","")))&amp;Activities!$B12&amp;CHAR(10)&amp;REPT("●",Activities!$F12),"")</f>
        <v/>
      </c>
      <c r="E12" s="7" t="str">
        <f>IF(AND(Activities!$A12&lt;&gt;"",IF(Activities!$E12&lt;&gt;"",ISNUMBER(SEARCH(",3,",","&amp;Activities!$E12&amp;",")),AND(Activities!$C12&lt;=3,Activities!$D12&gt;=3))),IF(Activities!$H12="Coaches","🌱 ",IF(Activities!$H12="Coordinators","⚙️ ",IF(Activities!$H12="Both","👥 ","")))&amp;Activities!$B12&amp;CHAR(10)&amp;REPT("●",Activities!$F12),"")</f>
        <v/>
      </c>
      <c r="F12" s="7" t="str">
        <f>IF(AND(Activities!$A12&lt;&gt;"",IF(Activities!$E12&lt;&gt;"",ISNUMBER(SEARCH(",4,",","&amp;Activities!$E12&amp;",")),AND(Activities!$C12&lt;=4,Activities!$D12&gt;=4))),IF(Activities!$H12="Coaches","🌱 ",IF(Activities!$H12="Coordinators","⚙️ ",IF(Activities!$H12="Both","👥 ","")))&amp;Activities!$B12&amp;CHAR(10)&amp;REPT("●",Activities!$F12),"")</f>
        <v>🌱 PBL 101 / fall instructional training
●●●</v>
      </c>
      <c r="G12" s="7" t="str">
        <f>IF(AND(Activities!$A12&lt;&gt;"",IF(Activities!$E12&lt;&gt;"",ISNUMBER(SEARCH(",5,",","&amp;Activities!$E12&amp;",")),AND(Activities!$C12&lt;=5,Activities!$D12&gt;=5))),IF(Activities!$H12="Coaches","🌱 ",IF(Activities!$H12="Coordinators","⚙️ ",IF(Activities!$H12="Both","👥 ","")))&amp;Activities!$B12&amp;CHAR(10)&amp;REPT("●",Activities!$F12),"")</f>
        <v/>
      </c>
      <c r="H12" s="7" t="str">
        <f>IF(AND(Activities!$A12&lt;&gt;"",IF(Activities!$E12&lt;&gt;"",ISNUMBER(SEARCH(",6,",","&amp;Activities!$E12&amp;",")),AND(Activities!$C12&lt;=6,Activities!$D12&gt;=6))),IF(Activities!$H12="Coaches","🌱 ",IF(Activities!$H12="Coordinators","⚙️ ",IF(Activities!$H12="Both","👥 ","")))&amp;Activities!$B12&amp;CHAR(10)&amp;REPT("●",Activities!$F12),"")</f>
        <v/>
      </c>
      <c r="I12" s="7" t="str">
        <f>IF(AND(Activities!$A12&lt;&gt;"",IF(Activities!$E12&lt;&gt;"",ISNUMBER(SEARCH(",7,",","&amp;Activities!$E12&amp;",")),AND(Activities!$C12&lt;=7,Activities!$D12&gt;=7))),IF(Activities!$H12="Coaches","🌱 ",IF(Activities!$H12="Coordinators","⚙️ ",IF(Activities!$H12="Both","👥 ","")))&amp;Activities!$B12&amp;CHAR(10)&amp;REPT("●",Activities!$F12),"")</f>
        <v/>
      </c>
      <c r="J12" s="7" t="str">
        <f>IF(AND(Activities!$A12&lt;&gt;"",IF(Activities!$E12&lt;&gt;"",ISNUMBER(SEARCH(",8,",","&amp;Activities!$E12&amp;",")),AND(Activities!$C12&lt;=8,Activities!$D12&gt;=8))),IF(Activities!$H12="Coaches","🌱 ",IF(Activities!$H12="Coordinators","⚙️ ",IF(Activities!$H12="Both","👥 ","")))&amp;Activities!$B12&amp;CHAR(10)&amp;REPT("●",Activities!$F12),"")</f>
        <v/>
      </c>
      <c r="K12" s="7" t="str">
        <f>IF(AND(Activities!$A12&lt;&gt;"",IF(Activities!$E12&lt;&gt;"",ISNUMBER(SEARCH(",9,",","&amp;Activities!$E12&amp;",")),AND(Activities!$C12&lt;=9,Activities!$D12&gt;=9))),IF(Activities!$H12="Coaches","🌱 ",IF(Activities!$H12="Coordinators","⚙️ ",IF(Activities!$H12="Both","👥 ","")))&amp;Activities!$B12&amp;CHAR(10)&amp;REPT("●",Activities!$F12),"")</f>
        <v/>
      </c>
      <c r="L12" s="7" t="str">
        <f>IF(AND(Activities!$A12&lt;&gt;"",IF(Activities!$E12&lt;&gt;"",ISNUMBER(SEARCH(",10,",","&amp;Activities!$E12&amp;",")),AND(Activities!$C12&lt;=10,Activities!$D12&gt;=10))),IF(Activities!$H12="Coaches","🌱 ",IF(Activities!$H12="Coordinators","⚙️ ",IF(Activities!$H12="Both","👥 ","")))&amp;Activities!$B12&amp;CHAR(10)&amp;REPT("●",Activities!$F12),"")</f>
        <v/>
      </c>
      <c r="M12" s="7" t="str">
        <f>IF(AND(Activities!$A12&lt;&gt;"",IF(Activities!$E12&lt;&gt;"",ISNUMBER(SEARCH(",11,",","&amp;Activities!$E12&amp;",")),AND(Activities!$C12&lt;=11,Activities!$D12&gt;=11))),IF(Activities!$H12="Coaches","🌱 ",IF(Activities!$H12="Coordinators","⚙️ ",IF(Activities!$H12="Both","👥 ","")))&amp;Activities!$B12&amp;CHAR(10)&amp;REPT("●",Activities!$F12),"")</f>
        <v/>
      </c>
      <c r="N12" s="7" t="str">
        <f>IF(AND(Activities!$A12&lt;&gt;"",IF(Activities!$E12&lt;&gt;"",ISNUMBER(SEARCH(",12,",","&amp;Activities!$E12&amp;",")),AND(Activities!$C12&lt;=12,Activities!$D12&gt;=12))),IF(Activities!$H12="Coaches","🌱 ",IF(Activities!$H12="Coordinators","⚙️ ",IF(Activities!$H12="Both","👥 ","")))&amp;Activities!$B12&amp;CHAR(10)&amp;REPT("●",Activities!$F12),"")</f>
        <v/>
      </c>
    </row>
    <row r="13" spans="1:14" s="8" customFormat="1" ht="60">
      <c r="A13" s="14" t="str">
        <f>IF(Activities!$A13&lt;&gt;"",Activities!$A13,"")</f>
        <v>Instructional Design, PBL &amp; Defenses</v>
      </c>
      <c r="B13" s="7" t="str">
        <f>IF(Activities!$B13&lt;&gt;"",Activities!$B13,"")</f>
        <v>Defense calibration, support, feedback &amp; reflection</v>
      </c>
      <c r="C13" s="7" t="str">
        <f>IF(AND(Activities!$A13&lt;&gt;"",IF(Activities!$E13&lt;&gt;"",ISNUMBER(SEARCH(",1,",","&amp;Activities!$E13&amp;",")),AND(Activities!$C13&lt;=1,Activities!$D13&gt;=1))),IF(Activities!$H13="Coaches","🌱 ",IF(Activities!$H13="Coordinators","⚙️ ",IF(Activities!$H13="Both","👥 ","")))&amp;Activities!$B13&amp;CHAR(10)&amp;REPT("●",Activities!$F13),"")</f>
        <v/>
      </c>
      <c r="D13" s="7" t="str">
        <f>IF(AND(Activities!$A13&lt;&gt;"",IF(Activities!$E13&lt;&gt;"",ISNUMBER(SEARCH(",2,",","&amp;Activities!$E13&amp;",")),AND(Activities!$C13&lt;=2,Activities!$D13&gt;=2))),IF(Activities!$H13="Coaches","🌱 ",IF(Activities!$H13="Coordinators","⚙️ ",IF(Activities!$H13="Both","👥 ","")))&amp;Activities!$B13&amp;CHAR(10)&amp;REPT("●",Activities!$F13),"")</f>
        <v/>
      </c>
      <c r="E13" s="7" t="str">
        <f>IF(AND(Activities!$A13&lt;&gt;"",IF(Activities!$E13&lt;&gt;"",ISNUMBER(SEARCH(",3,",","&amp;Activities!$E13&amp;",")),AND(Activities!$C13&lt;=3,Activities!$D13&gt;=3))),IF(Activities!$H13="Coaches","🌱 ",IF(Activities!$H13="Coordinators","⚙️ ",IF(Activities!$H13="Both","👥 ","")))&amp;Activities!$B13&amp;CHAR(10)&amp;REPT("●",Activities!$F13),"")</f>
        <v/>
      </c>
      <c r="F13" s="7" t="str">
        <f>IF(AND(Activities!$A13&lt;&gt;"",IF(Activities!$E13&lt;&gt;"",ISNUMBER(SEARCH(",4,",","&amp;Activities!$E13&amp;",")),AND(Activities!$C13&lt;=4,Activities!$D13&gt;=4))),IF(Activities!$H13="Coaches","🌱 ",IF(Activities!$H13="Coordinators","⚙️ ",IF(Activities!$H13="Both","👥 ","")))&amp;Activities!$B13&amp;CHAR(10)&amp;REPT("●",Activities!$F13),"")</f>
        <v/>
      </c>
      <c r="G13" s="7" t="str">
        <f>IF(AND(Activities!$A13&lt;&gt;"",IF(Activities!$E13&lt;&gt;"",ISNUMBER(SEARCH(",5,",","&amp;Activities!$E13&amp;",")),AND(Activities!$C13&lt;=5,Activities!$D13&gt;=5))),IF(Activities!$H13="Coaches","🌱 ",IF(Activities!$H13="Coordinators","⚙️ ",IF(Activities!$H13="Both","👥 ","")))&amp;Activities!$B13&amp;CHAR(10)&amp;REPT("●",Activities!$F13),"")</f>
        <v/>
      </c>
      <c r="H13" s="7" t="str">
        <f>IF(AND(Activities!$A13&lt;&gt;"",IF(Activities!$E13&lt;&gt;"",ISNUMBER(SEARCH(",6,",","&amp;Activities!$E13&amp;",")),AND(Activities!$C13&lt;=6,Activities!$D13&gt;=6))),IF(Activities!$H13="Coaches","🌱 ",IF(Activities!$H13="Coordinators","⚙️ ",IF(Activities!$H13="Both","👥 ","")))&amp;Activities!$B13&amp;CHAR(10)&amp;REPT("●",Activities!$F13),"")</f>
        <v/>
      </c>
      <c r="I13" s="7" t="str">
        <f>IF(AND(Activities!$A13&lt;&gt;"",IF(Activities!$E13&lt;&gt;"",ISNUMBER(SEARCH(",7,",","&amp;Activities!$E13&amp;",")),AND(Activities!$C13&lt;=7,Activities!$D13&gt;=7))),IF(Activities!$H13="Coaches","🌱 ",IF(Activities!$H13="Coordinators","⚙️ ",IF(Activities!$H13="Both","👥 ","")))&amp;Activities!$B13&amp;CHAR(10)&amp;REPT("●",Activities!$F13),"")</f>
        <v>🌱 Defense calibration, support, feedback &amp; reflection
●●</v>
      </c>
      <c r="J13" s="7" t="str">
        <f>IF(AND(Activities!$A13&lt;&gt;"",IF(Activities!$E13&lt;&gt;"",ISNUMBER(SEARCH(",8,",","&amp;Activities!$E13&amp;",")),AND(Activities!$C13&lt;=8,Activities!$D13&gt;=8))),IF(Activities!$H13="Coaches","🌱 ",IF(Activities!$H13="Coordinators","⚙️ ",IF(Activities!$H13="Both","👥 ","")))&amp;Activities!$B13&amp;CHAR(10)&amp;REPT("●",Activities!$F13),"")</f>
        <v>🌱 Defense calibration, support, feedback &amp; reflection
●●</v>
      </c>
      <c r="K13" s="7" t="str">
        <f>IF(AND(Activities!$A13&lt;&gt;"",IF(Activities!$E13&lt;&gt;"",ISNUMBER(SEARCH(",9,",","&amp;Activities!$E13&amp;",")),AND(Activities!$C13&lt;=9,Activities!$D13&gt;=9))),IF(Activities!$H13="Coaches","🌱 ",IF(Activities!$H13="Coordinators","⚙️ ",IF(Activities!$H13="Both","👥 ","")))&amp;Activities!$B13&amp;CHAR(10)&amp;REPT("●",Activities!$F13),"")</f>
        <v>🌱 Defense calibration, support, feedback &amp; reflection
●●</v>
      </c>
      <c r="L13" s="7" t="str">
        <f>IF(AND(Activities!$A13&lt;&gt;"",IF(Activities!$E13&lt;&gt;"",ISNUMBER(SEARCH(",10,",","&amp;Activities!$E13&amp;",")),AND(Activities!$C13&lt;=10,Activities!$D13&gt;=10))),IF(Activities!$H13="Coaches","🌱 ",IF(Activities!$H13="Coordinators","⚙️ ",IF(Activities!$H13="Both","👥 ","")))&amp;Activities!$B13&amp;CHAR(10)&amp;REPT("●",Activities!$F13),"")</f>
        <v/>
      </c>
      <c r="M13" s="7" t="str">
        <f>IF(AND(Activities!$A13&lt;&gt;"",IF(Activities!$E13&lt;&gt;"",ISNUMBER(SEARCH(",11,",","&amp;Activities!$E13&amp;",")),AND(Activities!$C13&lt;=11,Activities!$D13&gt;=11))),IF(Activities!$H13="Coaches","🌱 ",IF(Activities!$H13="Coordinators","⚙️ ",IF(Activities!$H13="Both","👥 ","")))&amp;Activities!$B13&amp;CHAR(10)&amp;REPT("●",Activities!$F13),"")</f>
        <v>🌱 Defense calibration, support, feedback &amp; reflection
●●</v>
      </c>
      <c r="N13" s="7" t="str">
        <f>IF(AND(Activities!$A13&lt;&gt;"",IF(Activities!$E13&lt;&gt;"",ISNUMBER(SEARCH(",12,",","&amp;Activities!$E13&amp;",")),AND(Activities!$C13&lt;=12,Activities!$D13&gt;=12))),IF(Activities!$H13="Coaches","🌱 ",IF(Activities!$H13="Coordinators","⚙️ ",IF(Activities!$H13="Both","👥 ","")))&amp;Activities!$B13&amp;CHAR(10)&amp;REPT("●",Activities!$F13),"")</f>
        <v/>
      </c>
    </row>
    <row r="14" spans="1:14" s="8" customFormat="1" ht="56">
      <c r="A14" s="14" t="str">
        <f>IF(Activities!$A14&lt;&gt;"",Activities!$A14,"")</f>
        <v>Pathway Strategy, Data &amp; Certification</v>
      </c>
      <c r="B14" s="7" t="str">
        <f>IF(Activities!$B14&lt;&gt;"",Activities!$B14,"")</f>
        <v>Administrator goal-setting, priorities &amp; annual data review</v>
      </c>
      <c r="C14" s="7" t="str">
        <f>IF(AND(Activities!$A14&lt;&gt;"",IF(Activities!$E14&lt;&gt;"",ISNUMBER(SEARCH(",1,",","&amp;Activities!$E14&amp;",")),AND(Activities!$C14&lt;=1,Activities!$D14&gt;=1))),IF(Activities!$H14="Coaches","🌱 ",IF(Activities!$H14="Coordinators","⚙️ ",IF(Activities!$H14="Both","👥 ","")))&amp;Activities!$B14&amp;CHAR(10)&amp;REPT("●",Activities!$F14),"")</f>
        <v>👥 Administrator goal-setting, priorities &amp; annual data review
●●</v>
      </c>
      <c r="D14" s="7" t="str">
        <f>IF(AND(Activities!$A14&lt;&gt;"",IF(Activities!$E14&lt;&gt;"",ISNUMBER(SEARCH(",2,",","&amp;Activities!$E14&amp;",")),AND(Activities!$C14&lt;=2,Activities!$D14&gt;=2))),IF(Activities!$H14="Coaches","🌱 ",IF(Activities!$H14="Coordinators","⚙️ ",IF(Activities!$H14="Both","👥 ","")))&amp;Activities!$B14&amp;CHAR(10)&amp;REPT("●",Activities!$F14),"")</f>
        <v>👥 Administrator goal-setting, priorities &amp; annual data review
●●</v>
      </c>
      <c r="E14" s="7" t="str">
        <f>IF(AND(Activities!$A14&lt;&gt;"",IF(Activities!$E14&lt;&gt;"",ISNUMBER(SEARCH(",3,",","&amp;Activities!$E14&amp;",")),AND(Activities!$C14&lt;=3,Activities!$D14&gt;=3))),IF(Activities!$H14="Coaches","🌱 ",IF(Activities!$H14="Coordinators","⚙️ ",IF(Activities!$H14="Both","👥 ","")))&amp;Activities!$B14&amp;CHAR(10)&amp;REPT("●",Activities!$F14),"")</f>
        <v/>
      </c>
      <c r="F14" s="7" t="str">
        <f>IF(AND(Activities!$A14&lt;&gt;"",IF(Activities!$E14&lt;&gt;"",ISNUMBER(SEARCH(",4,",","&amp;Activities!$E14&amp;",")),AND(Activities!$C14&lt;=4,Activities!$D14&gt;=4))),IF(Activities!$H14="Coaches","🌱 ",IF(Activities!$H14="Coordinators","⚙️ ",IF(Activities!$H14="Both","👥 ","")))&amp;Activities!$B14&amp;CHAR(10)&amp;REPT("●",Activities!$F14),"")</f>
        <v/>
      </c>
      <c r="G14" s="7" t="str">
        <f>IF(AND(Activities!$A14&lt;&gt;"",IF(Activities!$E14&lt;&gt;"",ISNUMBER(SEARCH(",5,",","&amp;Activities!$E14&amp;",")),AND(Activities!$C14&lt;=5,Activities!$D14&gt;=5))),IF(Activities!$H14="Coaches","🌱 ",IF(Activities!$H14="Coordinators","⚙️ ",IF(Activities!$H14="Both","👥 ","")))&amp;Activities!$B14&amp;CHAR(10)&amp;REPT("●",Activities!$F14),"")</f>
        <v/>
      </c>
      <c r="H14" s="7" t="str">
        <f>IF(AND(Activities!$A14&lt;&gt;"",IF(Activities!$E14&lt;&gt;"",ISNUMBER(SEARCH(",6,",","&amp;Activities!$E14&amp;",")),AND(Activities!$C14&lt;=6,Activities!$D14&gt;=6))),IF(Activities!$H14="Coaches","🌱 ",IF(Activities!$H14="Coordinators","⚙️ ",IF(Activities!$H14="Both","👥 ","")))&amp;Activities!$B14&amp;CHAR(10)&amp;REPT("●",Activities!$F14),"")</f>
        <v/>
      </c>
      <c r="I14" s="7" t="str">
        <f>IF(AND(Activities!$A14&lt;&gt;"",IF(Activities!$E14&lt;&gt;"",ISNUMBER(SEARCH(",7,",","&amp;Activities!$E14&amp;",")),AND(Activities!$C14&lt;=7,Activities!$D14&gt;=7))),IF(Activities!$H14="Coaches","🌱 ",IF(Activities!$H14="Coordinators","⚙️ ",IF(Activities!$H14="Both","👥 ","")))&amp;Activities!$B14&amp;CHAR(10)&amp;REPT("●",Activities!$F14),"")</f>
        <v/>
      </c>
      <c r="J14" s="7" t="str">
        <f>IF(AND(Activities!$A14&lt;&gt;"",IF(Activities!$E14&lt;&gt;"",ISNUMBER(SEARCH(",8,",","&amp;Activities!$E14&amp;",")),AND(Activities!$C14&lt;=8,Activities!$D14&gt;=8))),IF(Activities!$H14="Coaches","🌱 ",IF(Activities!$H14="Coordinators","⚙️ ",IF(Activities!$H14="Both","👥 ","")))&amp;Activities!$B14&amp;CHAR(10)&amp;REPT("●",Activities!$F14),"")</f>
        <v/>
      </c>
      <c r="K14" s="7" t="str">
        <f>IF(AND(Activities!$A14&lt;&gt;"",IF(Activities!$E14&lt;&gt;"",ISNUMBER(SEARCH(",9,",","&amp;Activities!$E14&amp;",")),AND(Activities!$C14&lt;=9,Activities!$D14&gt;=9))),IF(Activities!$H14="Coaches","🌱 ",IF(Activities!$H14="Coordinators","⚙️ ",IF(Activities!$H14="Both","👥 ","")))&amp;Activities!$B14&amp;CHAR(10)&amp;REPT("●",Activities!$F14),"")</f>
        <v/>
      </c>
      <c r="L14" s="7" t="str">
        <f>IF(AND(Activities!$A14&lt;&gt;"",IF(Activities!$E14&lt;&gt;"",ISNUMBER(SEARCH(",10,",","&amp;Activities!$E14&amp;",")),AND(Activities!$C14&lt;=10,Activities!$D14&gt;=10))),IF(Activities!$H14="Coaches","🌱 ",IF(Activities!$H14="Coordinators","⚙️ ",IF(Activities!$H14="Both","👥 ","")))&amp;Activities!$B14&amp;CHAR(10)&amp;REPT("●",Activities!$F14),"")</f>
        <v/>
      </c>
      <c r="M14" s="7" t="str">
        <f>IF(AND(Activities!$A14&lt;&gt;"",IF(Activities!$E14&lt;&gt;"",ISNUMBER(SEARCH(",11,",","&amp;Activities!$E14&amp;",")),AND(Activities!$C14&lt;=11,Activities!$D14&gt;=11))),IF(Activities!$H14="Coaches","🌱 ",IF(Activities!$H14="Coordinators","⚙️ ",IF(Activities!$H14="Both","👥 ","")))&amp;Activities!$B14&amp;CHAR(10)&amp;REPT("●",Activities!$F14),"")</f>
        <v/>
      </c>
      <c r="N14" s="7" t="str">
        <f>IF(AND(Activities!$A14&lt;&gt;"",IF(Activities!$E14&lt;&gt;"",ISNUMBER(SEARCH(",12,",","&amp;Activities!$E14&amp;",")),AND(Activities!$C14&lt;=12,Activities!$D14&gt;=12))),IF(Activities!$H14="Coaches","🌱 ",IF(Activities!$H14="Coordinators","⚙️ ",IF(Activities!$H14="Both","👥 ","")))&amp;Activities!$B14&amp;CHAR(10)&amp;REPT("●",Activities!$F14),"")</f>
        <v>👥 Administrator goal-setting, priorities &amp; annual data review
●●</v>
      </c>
    </row>
    <row r="15" spans="1:14" s="8" customFormat="1" ht="56">
      <c r="A15" s="14" t="str">
        <f>IF(Activities!$A15&lt;&gt;"",Activities!$A15,"")</f>
        <v>Pathway Strategy, Data &amp; Certification</v>
      </c>
      <c r="B15" s="7" t="str">
        <f>IF(Activities!$B15&lt;&gt;"",Activities!$B15,"")</f>
        <v>School goal progress checks and targeted support planning</v>
      </c>
      <c r="C15" s="7" t="str">
        <f>IF(AND(Activities!$A15&lt;&gt;"",IF(Activities!$E15&lt;&gt;"",ISNUMBER(SEARCH(",1,",","&amp;Activities!$E15&amp;",")),AND(Activities!$C15&lt;=1,Activities!$D15&gt;=1))),IF(Activities!$H15="Coaches","🌱 ",IF(Activities!$H15="Coordinators","⚙️ ",IF(Activities!$H15="Both","👥 ","")))&amp;Activities!$B15&amp;CHAR(10)&amp;REPT("●",Activities!$F15),"")</f>
        <v/>
      </c>
      <c r="D15" s="7" t="str">
        <f>IF(AND(Activities!$A15&lt;&gt;"",IF(Activities!$E15&lt;&gt;"",ISNUMBER(SEARCH(",2,",","&amp;Activities!$E15&amp;",")),AND(Activities!$C15&lt;=2,Activities!$D15&gt;=2))),IF(Activities!$H15="Coaches","🌱 ",IF(Activities!$H15="Coordinators","⚙️ ",IF(Activities!$H15="Both","👥 ","")))&amp;Activities!$B15&amp;CHAR(10)&amp;REPT("●",Activities!$F15),"")</f>
        <v/>
      </c>
      <c r="E15" s="7" t="str">
        <f>IF(AND(Activities!$A15&lt;&gt;"",IF(Activities!$E15&lt;&gt;"",ISNUMBER(SEARCH(",3,",","&amp;Activities!$E15&amp;",")),AND(Activities!$C15&lt;=3,Activities!$D15&gt;=3))),IF(Activities!$H15="Coaches","🌱 ",IF(Activities!$H15="Coordinators","⚙️ ",IF(Activities!$H15="Both","👥 ","")))&amp;Activities!$B15&amp;CHAR(10)&amp;REPT("●",Activities!$F15),"")</f>
        <v/>
      </c>
      <c r="F15" s="7" t="str">
        <f>IF(AND(Activities!$A15&lt;&gt;"",IF(Activities!$E15&lt;&gt;"",ISNUMBER(SEARCH(",4,",","&amp;Activities!$E15&amp;",")),AND(Activities!$C15&lt;=4,Activities!$D15&gt;=4))),IF(Activities!$H15="Coaches","🌱 ",IF(Activities!$H15="Coordinators","⚙️ ",IF(Activities!$H15="Both","👥 ","")))&amp;Activities!$B15&amp;CHAR(10)&amp;REPT("●",Activities!$F15),"")</f>
        <v>👥 School goal progress checks and targeted support planning
●●</v>
      </c>
      <c r="G15" s="7" t="str">
        <f>IF(AND(Activities!$A15&lt;&gt;"",IF(Activities!$E15&lt;&gt;"",ISNUMBER(SEARCH(",5,",","&amp;Activities!$E15&amp;",")),AND(Activities!$C15&lt;=5,Activities!$D15&gt;=5))),IF(Activities!$H15="Coaches","🌱 ",IF(Activities!$H15="Coordinators","⚙️ ",IF(Activities!$H15="Both","👥 ","")))&amp;Activities!$B15&amp;CHAR(10)&amp;REPT("●",Activities!$F15),"")</f>
        <v>👥 School goal progress checks and targeted support planning
●●</v>
      </c>
      <c r="H15" s="7" t="str">
        <f>IF(AND(Activities!$A15&lt;&gt;"",IF(Activities!$E15&lt;&gt;"",ISNUMBER(SEARCH(",6,",","&amp;Activities!$E15&amp;",")),AND(Activities!$C15&lt;=6,Activities!$D15&gt;=6))),IF(Activities!$H15="Coaches","🌱 ",IF(Activities!$H15="Coordinators","⚙️ ",IF(Activities!$H15="Both","👥 ","")))&amp;Activities!$B15&amp;CHAR(10)&amp;REPT("●",Activities!$F15),"")</f>
        <v/>
      </c>
      <c r="I15" s="7" t="str">
        <f>IF(AND(Activities!$A15&lt;&gt;"",IF(Activities!$E15&lt;&gt;"",ISNUMBER(SEARCH(",7,",","&amp;Activities!$E15&amp;",")),AND(Activities!$C15&lt;=7,Activities!$D15&gt;=7))),IF(Activities!$H15="Coaches","🌱 ",IF(Activities!$H15="Coordinators","⚙️ ",IF(Activities!$H15="Both","👥 ","")))&amp;Activities!$B15&amp;CHAR(10)&amp;REPT("●",Activities!$F15),"")</f>
        <v/>
      </c>
      <c r="J15" s="7" t="str">
        <f>IF(AND(Activities!$A15&lt;&gt;"",IF(Activities!$E15&lt;&gt;"",ISNUMBER(SEARCH(",8,",","&amp;Activities!$E15&amp;",")),AND(Activities!$C15&lt;=8,Activities!$D15&gt;=8))),IF(Activities!$H15="Coaches","🌱 ",IF(Activities!$H15="Coordinators","⚙️ ",IF(Activities!$H15="Both","👥 ","")))&amp;Activities!$B15&amp;CHAR(10)&amp;REPT("●",Activities!$F15),"")</f>
        <v/>
      </c>
      <c r="K15" s="7" t="str">
        <f>IF(AND(Activities!$A15&lt;&gt;"",IF(Activities!$E15&lt;&gt;"",ISNUMBER(SEARCH(",9,",","&amp;Activities!$E15&amp;",")),AND(Activities!$C15&lt;=9,Activities!$D15&gt;=9))),IF(Activities!$H15="Coaches","🌱 ",IF(Activities!$H15="Coordinators","⚙️ ",IF(Activities!$H15="Both","👥 ","")))&amp;Activities!$B15&amp;CHAR(10)&amp;REPT("●",Activities!$F15),"")</f>
        <v/>
      </c>
      <c r="L15" s="7" t="str">
        <f>IF(AND(Activities!$A15&lt;&gt;"",IF(Activities!$E15&lt;&gt;"",ISNUMBER(SEARCH(",10,",","&amp;Activities!$E15&amp;",")),AND(Activities!$C15&lt;=10,Activities!$D15&gt;=10))),IF(Activities!$H15="Coaches","🌱 ",IF(Activities!$H15="Coordinators","⚙️ ",IF(Activities!$H15="Both","👥 ","")))&amp;Activities!$B15&amp;CHAR(10)&amp;REPT("●",Activities!$F15),"")</f>
        <v/>
      </c>
      <c r="M15" s="7" t="str">
        <f>IF(AND(Activities!$A15&lt;&gt;"",IF(Activities!$E15&lt;&gt;"",ISNUMBER(SEARCH(",11,",","&amp;Activities!$E15&amp;",")),AND(Activities!$C15&lt;=11,Activities!$D15&gt;=11))),IF(Activities!$H15="Coaches","🌱 ",IF(Activities!$H15="Coordinators","⚙️ ",IF(Activities!$H15="Both","👥 ","")))&amp;Activities!$B15&amp;CHAR(10)&amp;REPT("●",Activities!$F15),"")</f>
        <v>👥 School goal progress checks and targeted support planning
●●</v>
      </c>
      <c r="N15" s="7" t="str">
        <f>IF(AND(Activities!$A15&lt;&gt;"",IF(Activities!$E15&lt;&gt;"",ISNUMBER(SEARCH(",12,",","&amp;Activities!$E15&amp;",")),AND(Activities!$C15&lt;=12,Activities!$D15&gt;=12))),IF(Activities!$H15="Coaches","🌱 ",IF(Activities!$H15="Coordinators","⚙️ ",IF(Activities!$H15="Both","👥 ","")))&amp;Activities!$B15&amp;CHAR(10)&amp;REPT("●",Activities!$F15),"")</f>
        <v/>
      </c>
    </row>
    <row r="16" spans="1:14" s="8" customFormat="1" ht="56">
      <c r="A16" s="14" t="str">
        <f>IF(Activities!$A16&lt;&gt;"",Activities!$A16,"")</f>
        <v>Pathway Strategy, Data &amp; Certification</v>
      </c>
      <c r="B16" s="7" t="str">
        <f>IF(Activities!$B16&lt;&gt;"",Activities!$B16,"")</f>
        <v>Linked Learning certification planning &amp; school support</v>
      </c>
      <c r="C16" s="7" t="str">
        <f>IF(AND(Activities!$A16&lt;&gt;"",IF(Activities!$E16&lt;&gt;"",ISNUMBER(SEARCH(",1,",","&amp;Activities!$E16&amp;",")),AND(Activities!$C16&lt;=1,Activities!$D16&gt;=1))),IF(Activities!$H16="Coaches","🌱 ",IF(Activities!$H16="Coordinators","⚙️ ",IF(Activities!$H16="Both","👥 ","")))&amp;Activities!$B16&amp;CHAR(10)&amp;REPT("●",Activities!$F16),"")</f>
        <v/>
      </c>
      <c r="D16" s="7" t="str">
        <f>IF(AND(Activities!$A16&lt;&gt;"",IF(Activities!$E16&lt;&gt;"",ISNUMBER(SEARCH(",2,",","&amp;Activities!$E16&amp;",")),AND(Activities!$C16&lt;=2,Activities!$D16&gt;=2))),IF(Activities!$H16="Coaches","🌱 ",IF(Activities!$H16="Coordinators","⚙️ ",IF(Activities!$H16="Both","👥 ","")))&amp;Activities!$B16&amp;CHAR(10)&amp;REPT("●",Activities!$F16),"")</f>
        <v>👥 Linked Learning certification planning &amp; school support
●●</v>
      </c>
      <c r="E16" s="7" t="str">
        <f>IF(AND(Activities!$A16&lt;&gt;"",IF(Activities!$E16&lt;&gt;"",ISNUMBER(SEARCH(",3,",","&amp;Activities!$E16&amp;",")),AND(Activities!$C16&lt;=3,Activities!$D16&gt;=3))),IF(Activities!$H16="Coaches","🌱 ",IF(Activities!$H16="Coordinators","⚙️ ",IF(Activities!$H16="Both","👥 ","")))&amp;Activities!$B16&amp;CHAR(10)&amp;REPT("●",Activities!$F16),"")</f>
        <v>👥 Linked Learning certification planning &amp; school support
●●</v>
      </c>
      <c r="F16" s="7" t="str">
        <f>IF(AND(Activities!$A16&lt;&gt;"",IF(Activities!$E16&lt;&gt;"",ISNUMBER(SEARCH(",4,",","&amp;Activities!$E16&amp;",")),AND(Activities!$C16&lt;=4,Activities!$D16&gt;=4))),IF(Activities!$H16="Coaches","🌱 ",IF(Activities!$H16="Coordinators","⚙️ ",IF(Activities!$H16="Both","👥 ","")))&amp;Activities!$B16&amp;CHAR(10)&amp;REPT("●",Activities!$F16),"")</f>
        <v>👥 Linked Learning certification planning &amp; school support
●●</v>
      </c>
      <c r="G16" s="7" t="str">
        <f>IF(AND(Activities!$A16&lt;&gt;"",IF(Activities!$E16&lt;&gt;"",ISNUMBER(SEARCH(",5,",","&amp;Activities!$E16&amp;",")),AND(Activities!$C16&lt;=5,Activities!$D16&gt;=5))),IF(Activities!$H16="Coaches","🌱 ",IF(Activities!$H16="Coordinators","⚙️ ",IF(Activities!$H16="Both","👥 ","")))&amp;Activities!$B16&amp;CHAR(10)&amp;REPT("●",Activities!$F16),"")</f>
        <v>👥 Linked Learning certification planning &amp; school support
●●</v>
      </c>
      <c r="H16" s="7" t="str">
        <f>IF(AND(Activities!$A16&lt;&gt;"",IF(Activities!$E16&lt;&gt;"",ISNUMBER(SEARCH(",6,",","&amp;Activities!$E16&amp;",")),AND(Activities!$C16&lt;=6,Activities!$D16&gt;=6))),IF(Activities!$H16="Coaches","🌱 ",IF(Activities!$H16="Coordinators","⚙️ ",IF(Activities!$H16="Both","👥 ","")))&amp;Activities!$B16&amp;CHAR(10)&amp;REPT("●",Activities!$F16),"")</f>
        <v>👥 Linked Learning certification planning &amp; school support
●●</v>
      </c>
      <c r="I16" s="7" t="str">
        <f>IF(AND(Activities!$A16&lt;&gt;"",IF(Activities!$E16&lt;&gt;"",ISNUMBER(SEARCH(",7,",","&amp;Activities!$E16&amp;",")),AND(Activities!$C16&lt;=7,Activities!$D16&gt;=7))),IF(Activities!$H16="Coaches","🌱 ",IF(Activities!$H16="Coordinators","⚙️ ",IF(Activities!$H16="Both","👥 ","")))&amp;Activities!$B16&amp;CHAR(10)&amp;REPT("●",Activities!$F16),"")</f>
        <v>👥 Linked Learning certification planning &amp; school support
●●</v>
      </c>
      <c r="J16" s="7" t="str">
        <f>IF(AND(Activities!$A16&lt;&gt;"",IF(Activities!$E16&lt;&gt;"",ISNUMBER(SEARCH(",8,",","&amp;Activities!$E16&amp;",")),AND(Activities!$C16&lt;=8,Activities!$D16&gt;=8))),IF(Activities!$H16="Coaches","🌱 ",IF(Activities!$H16="Coordinators","⚙️ ",IF(Activities!$H16="Both","👥 ","")))&amp;Activities!$B16&amp;CHAR(10)&amp;REPT("●",Activities!$F16),"")</f>
        <v>👥 Linked Learning certification planning &amp; school support
●●</v>
      </c>
      <c r="K16" s="7" t="str">
        <f>IF(AND(Activities!$A16&lt;&gt;"",IF(Activities!$E16&lt;&gt;"",ISNUMBER(SEARCH(",9,",","&amp;Activities!$E16&amp;",")),AND(Activities!$C16&lt;=9,Activities!$D16&gt;=9))),IF(Activities!$H16="Coaches","🌱 ",IF(Activities!$H16="Coordinators","⚙️ ",IF(Activities!$H16="Both","👥 ","")))&amp;Activities!$B16&amp;CHAR(10)&amp;REPT("●",Activities!$F16),"")</f>
        <v>👥 Linked Learning certification planning &amp; school support
●●</v>
      </c>
      <c r="L16" s="7" t="str">
        <f>IF(AND(Activities!$A16&lt;&gt;"",IF(Activities!$E16&lt;&gt;"",ISNUMBER(SEARCH(",10,",","&amp;Activities!$E16&amp;",")),AND(Activities!$C16&lt;=10,Activities!$D16&gt;=10))),IF(Activities!$H16="Coaches","🌱 ",IF(Activities!$H16="Coordinators","⚙️ ",IF(Activities!$H16="Both","👥 ","")))&amp;Activities!$B16&amp;CHAR(10)&amp;REPT("●",Activities!$F16),"")</f>
        <v>👥 Linked Learning certification planning &amp; school support
●●</v>
      </c>
      <c r="M16" s="7" t="str">
        <f>IF(AND(Activities!$A16&lt;&gt;"",IF(Activities!$E16&lt;&gt;"",ISNUMBER(SEARCH(",11,",","&amp;Activities!$E16&amp;",")),AND(Activities!$C16&lt;=11,Activities!$D16&gt;=11))),IF(Activities!$H16="Coaches","🌱 ",IF(Activities!$H16="Coordinators","⚙️ ",IF(Activities!$H16="Both","👥 ","")))&amp;Activities!$B16&amp;CHAR(10)&amp;REPT("●",Activities!$F16),"")</f>
        <v/>
      </c>
      <c r="N16" s="7" t="str">
        <f>IF(AND(Activities!$A16&lt;&gt;"",IF(Activities!$E16&lt;&gt;"",ISNUMBER(SEARCH(",12,",","&amp;Activities!$E16&amp;",")),AND(Activities!$C16&lt;=12,Activities!$D16&gt;=12))),IF(Activities!$H16="Coaches","🌱 ",IF(Activities!$H16="Coordinators","⚙️ ",IF(Activities!$H16="Both","👥 ","")))&amp;Activities!$B16&amp;CHAR(10)&amp;REPT("●",Activities!$F16),"")</f>
        <v/>
      </c>
    </row>
    <row r="17" spans="1:14" s="8" customFormat="1" ht="56">
      <c r="A17" s="14" t="str">
        <f>IF(Activities!$A17&lt;&gt;"",Activities!$A17,"")</f>
        <v>Pathway Strategy, Data &amp; Certification</v>
      </c>
      <c r="B17" s="7" t="str">
        <f>IF(Activities!$B17&lt;&gt;"",Activities!$B17,"")</f>
        <v>Team data checks, accomplishments review &amp; next-year goal setting</v>
      </c>
      <c r="C17" s="7" t="str">
        <f>IF(AND(Activities!$A17&lt;&gt;"",IF(Activities!$E17&lt;&gt;"",ISNUMBER(SEARCH(",1,",","&amp;Activities!$E17&amp;",")),AND(Activities!$C17&lt;=1,Activities!$D17&gt;=1))),IF(Activities!$H17="Coaches","🌱 ",IF(Activities!$H17="Coordinators","⚙️ ",IF(Activities!$H17="Both","👥 ","")))&amp;Activities!$B17&amp;CHAR(10)&amp;REPT("●",Activities!$F17),"")</f>
        <v/>
      </c>
      <c r="D17" s="7" t="str">
        <f>IF(AND(Activities!$A17&lt;&gt;"",IF(Activities!$E17&lt;&gt;"",ISNUMBER(SEARCH(",2,",","&amp;Activities!$E17&amp;",")),AND(Activities!$C17&lt;=2,Activities!$D17&gt;=2))),IF(Activities!$H17="Coaches","🌱 ",IF(Activities!$H17="Coordinators","⚙️ ",IF(Activities!$H17="Both","👥 ","")))&amp;Activities!$B17&amp;CHAR(10)&amp;REPT("●",Activities!$F17),"")</f>
        <v/>
      </c>
      <c r="E17" s="7" t="str">
        <f>IF(AND(Activities!$A17&lt;&gt;"",IF(Activities!$E17&lt;&gt;"",ISNUMBER(SEARCH(",3,",","&amp;Activities!$E17&amp;",")),AND(Activities!$C17&lt;=3,Activities!$D17&gt;=3))),IF(Activities!$H17="Coaches","🌱 ",IF(Activities!$H17="Coordinators","⚙️ ",IF(Activities!$H17="Both","👥 ","")))&amp;Activities!$B17&amp;CHAR(10)&amp;REPT("●",Activities!$F17),"")</f>
        <v>👥 Team data checks, accomplishments review &amp; next-year goal setting
●</v>
      </c>
      <c r="F17" s="7" t="str">
        <f>IF(AND(Activities!$A17&lt;&gt;"",IF(Activities!$E17&lt;&gt;"",ISNUMBER(SEARCH(",4,",","&amp;Activities!$E17&amp;",")),AND(Activities!$C17&lt;=4,Activities!$D17&gt;=4))),IF(Activities!$H17="Coaches","🌱 ",IF(Activities!$H17="Coordinators","⚙️ ",IF(Activities!$H17="Both","👥 ","")))&amp;Activities!$B17&amp;CHAR(10)&amp;REPT("●",Activities!$F17),"")</f>
        <v/>
      </c>
      <c r="G17" s="7" t="str">
        <f>IF(AND(Activities!$A17&lt;&gt;"",IF(Activities!$E17&lt;&gt;"",ISNUMBER(SEARCH(",5,",","&amp;Activities!$E17&amp;",")),AND(Activities!$C17&lt;=5,Activities!$D17&gt;=5))),IF(Activities!$H17="Coaches","🌱 ",IF(Activities!$H17="Coordinators","⚙️ ",IF(Activities!$H17="Both","👥 ","")))&amp;Activities!$B17&amp;CHAR(10)&amp;REPT("●",Activities!$F17),"")</f>
        <v/>
      </c>
      <c r="H17" s="7" t="str">
        <f>IF(AND(Activities!$A17&lt;&gt;"",IF(Activities!$E17&lt;&gt;"",ISNUMBER(SEARCH(",6,",","&amp;Activities!$E17&amp;",")),AND(Activities!$C17&lt;=6,Activities!$D17&gt;=6))),IF(Activities!$H17="Coaches","🌱 ",IF(Activities!$H17="Coordinators","⚙️ ",IF(Activities!$H17="Both","👥 ","")))&amp;Activities!$B17&amp;CHAR(10)&amp;REPT("●",Activities!$F17),"")</f>
        <v/>
      </c>
      <c r="I17" s="7" t="str">
        <f>IF(AND(Activities!$A17&lt;&gt;"",IF(Activities!$E17&lt;&gt;"",ISNUMBER(SEARCH(",7,",","&amp;Activities!$E17&amp;",")),AND(Activities!$C17&lt;=7,Activities!$D17&gt;=7))),IF(Activities!$H17="Coaches","🌱 ",IF(Activities!$H17="Coordinators","⚙️ ",IF(Activities!$H17="Both","👥 ","")))&amp;Activities!$B17&amp;CHAR(10)&amp;REPT("●",Activities!$F17),"")</f>
        <v>👥 Team data checks, accomplishments review &amp; next-year goal setting
●</v>
      </c>
      <c r="J17" s="7" t="str">
        <f>IF(AND(Activities!$A17&lt;&gt;"",IF(Activities!$E17&lt;&gt;"",ISNUMBER(SEARCH(",8,",","&amp;Activities!$E17&amp;",")),AND(Activities!$C17&lt;=8,Activities!$D17&gt;=8))),IF(Activities!$H17="Coaches","🌱 ",IF(Activities!$H17="Coordinators","⚙️ ",IF(Activities!$H17="Both","👥 ","")))&amp;Activities!$B17&amp;CHAR(10)&amp;REPT("●",Activities!$F17),"")</f>
        <v/>
      </c>
      <c r="K17" s="7" t="str">
        <f>IF(AND(Activities!$A17&lt;&gt;"",IF(Activities!$E17&lt;&gt;"",ISNUMBER(SEARCH(",9,",","&amp;Activities!$E17&amp;",")),AND(Activities!$C17&lt;=9,Activities!$D17&gt;=9))),IF(Activities!$H17="Coaches","🌱 ",IF(Activities!$H17="Coordinators","⚙️ ",IF(Activities!$H17="Both","👥 ","")))&amp;Activities!$B17&amp;CHAR(10)&amp;REPT("●",Activities!$F17),"")</f>
        <v/>
      </c>
      <c r="L17" s="7" t="str">
        <f>IF(AND(Activities!$A17&lt;&gt;"",IF(Activities!$E17&lt;&gt;"",ISNUMBER(SEARCH(",10,",","&amp;Activities!$E17&amp;",")),AND(Activities!$C17&lt;=10,Activities!$D17&gt;=10))),IF(Activities!$H17="Coaches","🌱 ",IF(Activities!$H17="Coordinators","⚙️ ",IF(Activities!$H17="Both","👥 ","")))&amp;Activities!$B17&amp;CHAR(10)&amp;REPT("●",Activities!$F17),"")</f>
        <v/>
      </c>
      <c r="M17" s="7" t="str">
        <f>IF(AND(Activities!$A17&lt;&gt;"",IF(Activities!$E17&lt;&gt;"",ISNUMBER(SEARCH(",11,",","&amp;Activities!$E17&amp;",")),AND(Activities!$C17&lt;=11,Activities!$D17&gt;=11))),IF(Activities!$H17="Coaches","🌱 ",IF(Activities!$H17="Coordinators","⚙️ ",IF(Activities!$H17="Both","👥 ","")))&amp;Activities!$B17&amp;CHAR(10)&amp;REPT("●",Activities!$F17),"")</f>
        <v>👥 Team data checks, accomplishments review &amp; next-year goal setting
●</v>
      </c>
      <c r="N17" s="7" t="str">
        <f>IF(AND(Activities!$A17&lt;&gt;"",IF(Activities!$E17&lt;&gt;"",ISNUMBER(SEARCH(",12,",","&amp;Activities!$E17&amp;",")),AND(Activities!$C17&lt;=12,Activities!$D17&gt;=12))),IF(Activities!$H17="Coaches","🌱 ",IF(Activities!$H17="Coordinators","⚙️ ",IF(Activities!$H17="Both","👥 ","")))&amp;Activities!$B17&amp;CHAR(10)&amp;REPT("●",Activities!$F17),"")</f>
        <v>👥 Team data checks, accomplishments review &amp; next-year goal setting
●</v>
      </c>
    </row>
    <row r="18" spans="1:14" s="8" customFormat="1" ht="56">
      <c r="A18" s="14" t="str">
        <f>IF(Activities!$A18&lt;&gt;"",Activities!$A18,"")</f>
        <v>Pathway Strategy, Data &amp; Certification</v>
      </c>
      <c r="B18" s="7" t="str">
        <f>IF(Activities!$B18&lt;&gt;"",Activities!$B18,"")</f>
        <v>Cross-team funding review &amp; GSPP 3-year planning</v>
      </c>
      <c r="C18" s="7" t="str">
        <f>IF(AND(Activities!$A18&lt;&gt;"",IF(Activities!$E18&lt;&gt;"",ISNUMBER(SEARCH(",1,",","&amp;Activities!$E18&amp;",")),AND(Activities!$C18&lt;=1,Activities!$D18&gt;=1))),IF(Activities!$H18="Coaches","🌱 ",IF(Activities!$H18="Coordinators","⚙️ ",IF(Activities!$H18="Both","👥 ","")))&amp;Activities!$B18&amp;CHAR(10)&amp;REPT("●",Activities!$F18),"")</f>
        <v/>
      </c>
      <c r="D18" s="7" t="str">
        <f>IF(AND(Activities!$A18&lt;&gt;"",IF(Activities!$E18&lt;&gt;"",ISNUMBER(SEARCH(",2,",","&amp;Activities!$E18&amp;",")),AND(Activities!$C18&lt;=2,Activities!$D18&gt;=2))),IF(Activities!$H18="Coaches","🌱 ",IF(Activities!$H18="Coordinators","⚙️ ",IF(Activities!$H18="Both","👥 ","")))&amp;Activities!$B18&amp;CHAR(10)&amp;REPT("●",Activities!$F18),"")</f>
        <v/>
      </c>
      <c r="E18" s="7" t="str">
        <f>IF(AND(Activities!$A18&lt;&gt;"",IF(Activities!$E18&lt;&gt;"",ISNUMBER(SEARCH(",3,",","&amp;Activities!$E18&amp;",")),AND(Activities!$C18&lt;=3,Activities!$D18&gt;=3))),IF(Activities!$H18="Coaches","🌱 ",IF(Activities!$H18="Coordinators","⚙️ ",IF(Activities!$H18="Both","👥 ","")))&amp;Activities!$B18&amp;CHAR(10)&amp;REPT("●",Activities!$F18),"")</f>
        <v/>
      </c>
      <c r="F18" s="7" t="str">
        <f>IF(AND(Activities!$A18&lt;&gt;"",IF(Activities!$E18&lt;&gt;"",ISNUMBER(SEARCH(",4,",","&amp;Activities!$E18&amp;",")),AND(Activities!$C18&lt;=4,Activities!$D18&gt;=4))),IF(Activities!$H18="Coaches","🌱 ",IF(Activities!$H18="Coordinators","⚙️ ",IF(Activities!$H18="Both","👥 ","")))&amp;Activities!$B18&amp;CHAR(10)&amp;REPT("●",Activities!$F18),"")</f>
        <v/>
      </c>
      <c r="G18" s="7" t="str">
        <f>IF(AND(Activities!$A18&lt;&gt;"",IF(Activities!$E18&lt;&gt;"",ISNUMBER(SEARCH(",5,",","&amp;Activities!$E18&amp;",")),AND(Activities!$C18&lt;=5,Activities!$D18&gt;=5))),IF(Activities!$H18="Coaches","🌱 ",IF(Activities!$H18="Coordinators","⚙️ ",IF(Activities!$H18="Both","👥 ","")))&amp;Activities!$B18&amp;CHAR(10)&amp;REPT("●",Activities!$F18),"")</f>
        <v/>
      </c>
      <c r="H18" s="7" t="str">
        <f>IF(AND(Activities!$A18&lt;&gt;"",IF(Activities!$E18&lt;&gt;"",ISNUMBER(SEARCH(",6,",","&amp;Activities!$E18&amp;",")),AND(Activities!$C18&lt;=6,Activities!$D18&gt;=6))),IF(Activities!$H18="Coaches","🌱 ",IF(Activities!$H18="Coordinators","⚙️ ",IF(Activities!$H18="Both","👥 ","")))&amp;Activities!$B18&amp;CHAR(10)&amp;REPT("●",Activities!$F18),"")</f>
        <v/>
      </c>
      <c r="I18" s="7" t="str">
        <f>IF(AND(Activities!$A18&lt;&gt;"",IF(Activities!$E18&lt;&gt;"",ISNUMBER(SEARCH(",7,",","&amp;Activities!$E18&amp;",")),AND(Activities!$C18&lt;=7,Activities!$D18&gt;=7))),IF(Activities!$H18="Coaches","🌱 ",IF(Activities!$H18="Coordinators","⚙️ ",IF(Activities!$H18="Both","👥 ","")))&amp;Activities!$B18&amp;CHAR(10)&amp;REPT("●",Activities!$F18),"")</f>
        <v/>
      </c>
      <c r="J18" s="7" t="str">
        <f>IF(AND(Activities!$A18&lt;&gt;"",IF(Activities!$E18&lt;&gt;"",ISNUMBER(SEARCH(",8,",","&amp;Activities!$E18&amp;",")),AND(Activities!$C18&lt;=8,Activities!$D18&gt;=8))),IF(Activities!$H18="Coaches","🌱 ",IF(Activities!$H18="Coordinators","⚙️ ",IF(Activities!$H18="Both","👥 ","")))&amp;Activities!$B18&amp;CHAR(10)&amp;REPT("●",Activities!$F18),"")</f>
        <v/>
      </c>
      <c r="K18" s="7" t="str">
        <f>IF(AND(Activities!$A18&lt;&gt;"",IF(Activities!$E18&lt;&gt;"",ISNUMBER(SEARCH(",9,",","&amp;Activities!$E18&amp;",")),AND(Activities!$C18&lt;=9,Activities!$D18&gt;=9))),IF(Activities!$H18="Coaches","🌱 ",IF(Activities!$H18="Coordinators","⚙️ ",IF(Activities!$H18="Both","👥 ","")))&amp;Activities!$B18&amp;CHAR(10)&amp;REPT("●",Activities!$F18),"")</f>
        <v>👥 Cross-team funding review &amp; GSPP 3-year planning
●</v>
      </c>
      <c r="L18" s="7" t="str">
        <f>IF(AND(Activities!$A18&lt;&gt;"",IF(Activities!$E18&lt;&gt;"",ISNUMBER(SEARCH(",10,",","&amp;Activities!$E18&amp;",")),AND(Activities!$C18&lt;=10,Activities!$D18&gt;=10))),IF(Activities!$H18="Coaches","🌱 ",IF(Activities!$H18="Coordinators","⚙️ ",IF(Activities!$H18="Both","👥 ","")))&amp;Activities!$B18&amp;CHAR(10)&amp;REPT("●",Activities!$F18),"")</f>
        <v/>
      </c>
      <c r="M18" s="7" t="str">
        <f>IF(AND(Activities!$A18&lt;&gt;"",IF(Activities!$E18&lt;&gt;"",ISNUMBER(SEARCH(",11,",","&amp;Activities!$E18&amp;",")),AND(Activities!$C18&lt;=11,Activities!$D18&gt;=11))),IF(Activities!$H18="Coaches","🌱 ",IF(Activities!$H18="Coordinators","⚙️ ",IF(Activities!$H18="Both","👥 ","")))&amp;Activities!$B18&amp;CHAR(10)&amp;REPT("●",Activities!$F18),"")</f>
        <v/>
      </c>
      <c r="N18" s="7" t="str">
        <f>IF(AND(Activities!$A18&lt;&gt;"",IF(Activities!$E18&lt;&gt;"",ISNUMBER(SEARCH(",12,",","&amp;Activities!$E18&amp;",")),AND(Activities!$C18&lt;=12,Activities!$D18&gt;=12))),IF(Activities!$H18="Coaches","🌱 ",IF(Activities!$H18="Coordinators","⚙️ ",IF(Activities!$H18="Both","👥 ","")))&amp;Activities!$B18&amp;CHAR(10)&amp;REPT("●",Activities!$F18),"")</f>
        <v>👥 Cross-team funding review &amp; GSPP 3-year planning
●</v>
      </c>
    </row>
    <row r="19" spans="1:14" s="8" customFormat="1" ht="60">
      <c r="A19" s="14" t="str">
        <f>IF(Activities!$A19&lt;&gt;"",Activities!$A19,"")</f>
        <v>Professional Learning &amp; Leadership</v>
      </c>
      <c r="B19" s="7" t="str">
        <f>IF(Activities!$B19&lt;&gt;"",Activities!$B19,"")</f>
        <v>Linked Learning Team retreat</v>
      </c>
      <c r="C19" s="7" t="str">
        <f>IF(AND(Activities!$A19&lt;&gt;"",IF(Activities!$E19&lt;&gt;"",ISNUMBER(SEARCH(",1,",","&amp;Activities!$E19&amp;",")),AND(Activities!$C19&lt;=1,Activities!$D19&gt;=1))),IF(Activities!$H19="Coaches","🌱 ",IF(Activities!$H19="Coordinators","⚙️ ",IF(Activities!$H19="Both","👥 ","")))&amp;Activities!$B19&amp;CHAR(10)&amp;REPT("●",Activities!$F19),"")</f>
        <v>👥 Linked Learning Team retreat
●</v>
      </c>
      <c r="D19" s="7" t="str">
        <f>IF(AND(Activities!$A19&lt;&gt;"",IF(Activities!$E19&lt;&gt;"",ISNUMBER(SEARCH(",2,",","&amp;Activities!$E19&amp;",")),AND(Activities!$C19&lt;=2,Activities!$D19&gt;=2))),IF(Activities!$H19="Coaches","🌱 ",IF(Activities!$H19="Coordinators","⚙️ ",IF(Activities!$H19="Both","👥 ","")))&amp;Activities!$B19&amp;CHAR(10)&amp;REPT("●",Activities!$F19),"")</f>
        <v/>
      </c>
      <c r="E19" s="7" t="str">
        <f>IF(AND(Activities!$A19&lt;&gt;"",IF(Activities!$E19&lt;&gt;"",ISNUMBER(SEARCH(",3,",","&amp;Activities!$E19&amp;",")),AND(Activities!$C19&lt;=3,Activities!$D19&gt;=3))),IF(Activities!$H19="Coaches","🌱 ",IF(Activities!$H19="Coordinators","⚙️ ",IF(Activities!$H19="Both","👥 ","")))&amp;Activities!$B19&amp;CHAR(10)&amp;REPT("●",Activities!$F19),"")</f>
        <v/>
      </c>
      <c r="F19" s="7" t="str">
        <f>IF(AND(Activities!$A19&lt;&gt;"",IF(Activities!$E19&lt;&gt;"",ISNUMBER(SEARCH(",4,",","&amp;Activities!$E19&amp;",")),AND(Activities!$C19&lt;=4,Activities!$D19&gt;=4))),IF(Activities!$H19="Coaches","🌱 ",IF(Activities!$H19="Coordinators","⚙️ ",IF(Activities!$H19="Both","👥 ","")))&amp;Activities!$B19&amp;CHAR(10)&amp;REPT("●",Activities!$F19),"")</f>
        <v/>
      </c>
      <c r="G19" s="7" t="str">
        <f>IF(AND(Activities!$A19&lt;&gt;"",IF(Activities!$E19&lt;&gt;"",ISNUMBER(SEARCH(",5,",","&amp;Activities!$E19&amp;",")),AND(Activities!$C19&lt;=5,Activities!$D19&gt;=5))),IF(Activities!$H19="Coaches","🌱 ",IF(Activities!$H19="Coordinators","⚙️ ",IF(Activities!$H19="Both","👥 ","")))&amp;Activities!$B19&amp;CHAR(10)&amp;REPT("●",Activities!$F19),"")</f>
        <v/>
      </c>
      <c r="H19" s="7" t="str">
        <f>IF(AND(Activities!$A19&lt;&gt;"",IF(Activities!$E19&lt;&gt;"",ISNUMBER(SEARCH(",6,",","&amp;Activities!$E19&amp;",")),AND(Activities!$C19&lt;=6,Activities!$D19&gt;=6))),IF(Activities!$H19="Coaches","🌱 ",IF(Activities!$H19="Coordinators","⚙️ ",IF(Activities!$H19="Both","👥 ","")))&amp;Activities!$B19&amp;CHAR(10)&amp;REPT("●",Activities!$F19),"")</f>
        <v/>
      </c>
      <c r="I19" s="7" t="str">
        <f>IF(AND(Activities!$A19&lt;&gt;"",IF(Activities!$E19&lt;&gt;"",ISNUMBER(SEARCH(",7,",","&amp;Activities!$E19&amp;",")),AND(Activities!$C19&lt;=7,Activities!$D19&gt;=7))),IF(Activities!$H19="Coaches","🌱 ",IF(Activities!$H19="Coordinators","⚙️ ",IF(Activities!$H19="Both","👥 ","")))&amp;Activities!$B19&amp;CHAR(10)&amp;REPT("●",Activities!$F19),"")</f>
        <v/>
      </c>
      <c r="J19" s="7" t="str">
        <f>IF(AND(Activities!$A19&lt;&gt;"",IF(Activities!$E19&lt;&gt;"",ISNUMBER(SEARCH(",8,",","&amp;Activities!$E19&amp;",")),AND(Activities!$C19&lt;=8,Activities!$D19&gt;=8))),IF(Activities!$H19="Coaches","🌱 ",IF(Activities!$H19="Coordinators","⚙️ ",IF(Activities!$H19="Both","👥 ","")))&amp;Activities!$B19&amp;CHAR(10)&amp;REPT("●",Activities!$F19),"")</f>
        <v/>
      </c>
      <c r="K19" s="7" t="str">
        <f>IF(AND(Activities!$A19&lt;&gt;"",IF(Activities!$E19&lt;&gt;"",ISNUMBER(SEARCH(",9,",","&amp;Activities!$E19&amp;",")),AND(Activities!$C19&lt;=9,Activities!$D19&gt;=9))),IF(Activities!$H19="Coaches","🌱 ",IF(Activities!$H19="Coordinators","⚙️ ",IF(Activities!$H19="Both","👥 ","")))&amp;Activities!$B19&amp;CHAR(10)&amp;REPT("●",Activities!$F19),"")</f>
        <v/>
      </c>
      <c r="L19" s="7" t="str">
        <f>IF(AND(Activities!$A19&lt;&gt;"",IF(Activities!$E19&lt;&gt;"",ISNUMBER(SEARCH(",10,",","&amp;Activities!$E19&amp;",")),AND(Activities!$C19&lt;=10,Activities!$D19&gt;=10))),IF(Activities!$H19="Coaches","🌱 ",IF(Activities!$H19="Coordinators","⚙️ ",IF(Activities!$H19="Both","👥 ","")))&amp;Activities!$B19&amp;CHAR(10)&amp;REPT("●",Activities!$F19),"")</f>
        <v/>
      </c>
      <c r="M19" s="7" t="str">
        <f>IF(AND(Activities!$A19&lt;&gt;"",IF(Activities!$E19&lt;&gt;"",ISNUMBER(SEARCH(",11,",","&amp;Activities!$E19&amp;",")),AND(Activities!$C19&lt;=11,Activities!$D19&gt;=11))),IF(Activities!$H19="Coaches","🌱 ",IF(Activities!$H19="Coordinators","⚙️ ",IF(Activities!$H19="Both","👥 ","")))&amp;Activities!$B19&amp;CHAR(10)&amp;REPT("●",Activities!$F19),"")</f>
        <v/>
      </c>
      <c r="N19" s="7" t="str">
        <f>IF(AND(Activities!$A19&lt;&gt;"",IF(Activities!$E19&lt;&gt;"",ISNUMBER(SEARCH(",12,",","&amp;Activities!$E19&amp;",")),AND(Activities!$C19&lt;=12,Activities!$D19&gt;=12))),IF(Activities!$H19="Coaches","🌱 ",IF(Activities!$H19="Coordinators","⚙️ ",IF(Activities!$H19="Both","👥 ","")))&amp;Activities!$B19&amp;CHAR(10)&amp;REPT("●",Activities!$F19),"")</f>
        <v/>
      </c>
    </row>
    <row r="20" spans="1:14" s="8" customFormat="1" ht="60">
      <c r="A20" s="14" t="str">
        <f>IF(Activities!$A20&lt;&gt;"",Activities!$A20,"")</f>
        <v>Professional Learning &amp; Leadership</v>
      </c>
      <c r="B20" s="7" t="str">
        <f>IF(Activities!$B20&lt;&gt;"",Activities!$B20,"")</f>
        <v>Linked Learning Leaders professional learning series</v>
      </c>
      <c r="C20" s="7" t="str">
        <f>IF(AND(Activities!$A20&lt;&gt;"",IF(Activities!$E20&lt;&gt;"",ISNUMBER(SEARCH(",1,",","&amp;Activities!$E20&amp;",")),AND(Activities!$C20&lt;=1,Activities!$D20&gt;=1))),IF(Activities!$H20="Coaches","🌱 ",IF(Activities!$H20="Coordinators","⚙️ ",IF(Activities!$H20="Both","👥 ","")))&amp;Activities!$B20&amp;CHAR(10)&amp;REPT("●",Activities!$F20),"")</f>
        <v/>
      </c>
      <c r="D20" s="7" t="str">
        <f>IF(AND(Activities!$A20&lt;&gt;"",IF(Activities!$E20&lt;&gt;"",ISNUMBER(SEARCH(",2,",","&amp;Activities!$E20&amp;",")),AND(Activities!$C20&lt;=2,Activities!$D20&gt;=2))),IF(Activities!$H20="Coaches","🌱 ",IF(Activities!$H20="Coordinators","⚙️ ",IF(Activities!$H20="Both","👥 ","")))&amp;Activities!$B20&amp;CHAR(10)&amp;REPT("●",Activities!$F20),"")</f>
        <v/>
      </c>
      <c r="E20" s="7" t="str">
        <f>IF(AND(Activities!$A20&lt;&gt;"",IF(Activities!$E20&lt;&gt;"",ISNUMBER(SEARCH(",3,",","&amp;Activities!$E20&amp;",")),AND(Activities!$C20&lt;=3,Activities!$D20&gt;=3))),IF(Activities!$H20="Coaches","🌱 ",IF(Activities!$H20="Coordinators","⚙️ ",IF(Activities!$H20="Both","👥 ","")))&amp;Activities!$B20&amp;CHAR(10)&amp;REPT("●",Activities!$F20),"")</f>
        <v>🌱 Linked Learning Leaders professional learning series
●●</v>
      </c>
      <c r="F20" s="7" t="str">
        <f>IF(AND(Activities!$A20&lt;&gt;"",IF(Activities!$E20&lt;&gt;"",ISNUMBER(SEARCH(",4,",","&amp;Activities!$E20&amp;",")),AND(Activities!$C20&lt;=4,Activities!$D20&gt;=4))),IF(Activities!$H20="Coaches","🌱 ",IF(Activities!$H20="Coordinators","⚙️ ",IF(Activities!$H20="Both","👥 ","")))&amp;Activities!$B20&amp;CHAR(10)&amp;REPT("●",Activities!$F20),"")</f>
        <v>🌱 Linked Learning Leaders professional learning series
●●</v>
      </c>
      <c r="G20" s="7" t="str">
        <f>IF(AND(Activities!$A20&lt;&gt;"",IF(Activities!$E20&lt;&gt;"",ISNUMBER(SEARCH(",5,",","&amp;Activities!$E20&amp;",")),AND(Activities!$C20&lt;=5,Activities!$D20&gt;=5))),IF(Activities!$H20="Coaches","🌱 ",IF(Activities!$H20="Coordinators","⚙️ ",IF(Activities!$H20="Both","👥 ","")))&amp;Activities!$B20&amp;CHAR(10)&amp;REPT("●",Activities!$F20),"")</f>
        <v/>
      </c>
      <c r="H20" s="7" t="str">
        <f>IF(AND(Activities!$A20&lt;&gt;"",IF(Activities!$E20&lt;&gt;"",ISNUMBER(SEARCH(",6,",","&amp;Activities!$E20&amp;",")),AND(Activities!$C20&lt;=6,Activities!$D20&gt;=6))),IF(Activities!$H20="Coaches","🌱 ",IF(Activities!$H20="Coordinators","⚙️ ",IF(Activities!$H20="Both","👥 ","")))&amp;Activities!$B20&amp;CHAR(10)&amp;REPT("●",Activities!$F20),"")</f>
        <v/>
      </c>
      <c r="I20" s="7" t="str">
        <f>IF(AND(Activities!$A20&lt;&gt;"",IF(Activities!$E20&lt;&gt;"",ISNUMBER(SEARCH(",7,",","&amp;Activities!$E20&amp;",")),AND(Activities!$C20&lt;=7,Activities!$D20&gt;=7))),IF(Activities!$H20="Coaches","🌱 ",IF(Activities!$H20="Coordinators","⚙️ ",IF(Activities!$H20="Both","👥 ","")))&amp;Activities!$B20&amp;CHAR(10)&amp;REPT("●",Activities!$F20),"")</f>
        <v>🌱 Linked Learning Leaders professional learning series
●●</v>
      </c>
      <c r="J20" s="7" t="str">
        <f>IF(AND(Activities!$A20&lt;&gt;"",IF(Activities!$E20&lt;&gt;"",ISNUMBER(SEARCH(",8,",","&amp;Activities!$E20&amp;",")),AND(Activities!$C20&lt;=8,Activities!$D20&gt;=8))),IF(Activities!$H20="Coaches","🌱 ",IF(Activities!$H20="Coordinators","⚙️ ",IF(Activities!$H20="Both","👥 ","")))&amp;Activities!$B20&amp;CHAR(10)&amp;REPT("●",Activities!$F20),"")</f>
        <v>🌱 Linked Learning Leaders professional learning series
●●</v>
      </c>
      <c r="K20" s="7" t="str">
        <f>IF(AND(Activities!$A20&lt;&gt;"",IF(Activities!$E20&lt;&gt;"",ISNUMBER(SEARCH(",9,",","&amp;Activities!$E20&amp;",")),AND(Activities!$C20&lt;=9,Activities!$D20&gt;=9))),IF(Activities!$H20="Coaches","🌱 ",IF(Activities!$H20="Coordinators","⚙️ ",IF(Activities!$H20="Both","👥 ","")))&amp;Activities!$B20&amp;CHAR(10)&amp;REPT("●",Activities!$F20),"")</f>
        <v/>
      </c>
      <c r="L20" s="7" t="str">
        <f>IF(AND(Activities!$A20&lt;&gt;"",IF(Activities!$E20&lt;&gt;"",ISNUMBER(SEARCH(",10,",","&amp;Activities!$E20&amp;",")),AND(Activities!$C20&lt;=10,Activities!$D20&gt;=10))),IF(Activities!$H20="Coaches","🌱 ",IF(Activities!$H20="Coordinators","⚙️ ",IF(Activities!$H20="Both","👥 ","")))&amp;Activities!$B20&amp;CHAR(10)&amp;REPT("●",Activities!$F20),"")</f>
        <v>🌱 Linked Learning Leaders professional learning series
●●</v>
      </c>
      <c r="M20" s="7" t="str">
        <f>IF(AND(Activities!$A20&lt;&gt;"",IF(Activities!$E20&lt;&gt;"",ISNUMBER(SEARCH(",11,",","&amp;Activities!$E20&amp;",")),AND(Activities!$C20&lt;=11,Activities!$D20&gt;=11))),IF(Activities!$H20="Coaches","🌱 ",IF(Activities!$H20="Coordinators","⚙️ ",IF(Activities!$H20="Both","👥 ","")))&amp;Activities!$B20&amp;CHAR(10)&amp;REPT("●",Activities!$F20),"")</f>
        <v/>
      </c>
      <c r="N20" s="7" t="str">
        <f>IF(AND(Activities!$A20&lt;&gt;"",IF(Activities!$E20&lt;&gt;"",ISNUMBER(SEARCH(",12,",","&amp;Activities!$E20&amp;",")),AND(Activities!$C20&lt;=12,Activities!$D20&gt;=12))),IF(Activities!$H20="Coaches","🌱 ",IF(Activities!$H20="Coordinators","⚙️ ",IF(Activities!$H20="Both","👥 ","")))&amp;Activities!$B20&amp;CHAR(10)&amp;REPT("●",Activities!$F20),"")</f>
        <v/>
      </c>
    </row>
    <row r="21" spans="1:14" s="8" customFormat="1" ht="60">
      <c r="A21" s="14" t="str">
        <f>IF(Activities!$A21&lt;&gt;"",Activities!$A21,"")</f>
        <v>Professional Learning &amp; Leadership</v>
      </c>
      <c r="B21" s="7" t="str">
        <f>IF(Activities!$B21&lt;&gt;"",Activities!$B21,"")</f>
        <v>Linked Learning microcredential program</v>
      </c>
      <c r="C21" s="7" t="str">
        <f>IF(AND(Activities!$A21&lt;&gt;"",IF(Activities!$E21&lt;&gt;"",ISNUMBER(SEARCH(",1,",","&amp;Activities!$E21&amp;",")),AND(Activities!$C21&lt;=1,Activities!$D21&gt;=1))),IF(Activities!$H21="Coaches","🌱 ",IF(Activities!$H21="Coordinators","⚙️ ",IF(Activities!$H21="Both","👥 ","")))&amp;Activities!$B21&amp;CHAR(10)&amp;REPT("●",Activities!$F21),"")</f>
        <v>🌱 Linked Learning microcredential program
●</v>
      </c>
      <c r="D21" s="7" t="str">
        <f>IF(AND(Activities!$A21&lt;&gt;"",IF(Activities!$E21&lt;&gt;"",ISNUMBER(SEARCH(",2,",","&amp;Activities!$E21&amp;",")),AND(Activities!$C21&lt;=2,Activities!$D21&gt;=2))),IF(Activities!$H21="Coaches","🌱 ",IF(Activities!$H21="Coordinators","⚙️ ",IF(Activities!$H21="Both","👥 ","")))&amp;Activities!$B21&amp;CHAR(10)&amp;REPT("●",Activities!$F21),"")</f>
        <v>🌱 Linked Learning microcredential program
●</v>
      </c>
      <c r="E21" s="7" t="str">
        <f>IF(AND(Activities!$A21&lt;&gt;"",IF(Activities!$E21&lt;&gt;"",ISNUMBER(SEARCH(",3,",","&amp;Activities!$E21&amp;",")),AND(Activities!$C21&lt;=3,Activities!$D21&gt;=3))),IF(Activities!$H21="Coaches","🌱 ",IF(Activities!$H21="Coordinators","⚙️ ",IF(Activities!$H21="Both","👥 ","")))&amp;Activities!$B21&amp;CHAR(10)&amp;REPT("●",Activities!$F21),"")</f>
        <v>🌱 Linked Learning microcredential program
●</v>
      </c>
      <c r="F21" s="7" t="str">
        <f>IF(AND(Activities!$A21&lt;&gt;"",IF(Activities!$E21&lt;&gt;"",ISNUMBER(SEARCH(",4,",","&amp;Activities!$E21&amp;",")),AND(Activities!$C21&lt;=4,Activities!$D21&gt;=4))),IF(Activities!$H21="Coaches","🌱 ",IF(Activities!$H21="Coordinators","⚙️ ",IF(Activities!$H21="Both","👥 ","")))&amp;Activities!$B21&amp;CHAR(10)&amp;REPT("●",Activities!$F21),"")</f>
        <v>🌱 Linked Learning microcredential program
●</v>
      </c>
      <c r="G21" s="7" t="str">
        <f>IF(AND(Activities!$A21&lt;&gt;"",IF(Activities!$E21&lt;&gt;"",ISNUMBER(SEARCH(",5,",","&amp;Activities!$E21&amp;",")),AND(Activities!$C21&lt;=5,Activities!$D21&gt;=5))),IF(Activities!$H21="Coaches","🌱 ",IF(Activities!$H21="Coordinators","⚙️ ",IF(Activities!$H21="Both","👥 ","")))&amp;Activities!$B21&amp;CHAR(10)&amp;REPT("●",Activities!$F21),"")</f>
        <v>🌱 Linked Learning microcredential program
●</v>
      </c>
      <c r="H21" s="7" t="str">
        <f>IF(AND(Activities!$A21&lt;&gt;"",IF(Activities!$E21&lt;&gt;"",ISNUMBER(SEARCH(",6,",","&amp;Activities!$E21&amp;",")),AND(Activities!$C21&lt;=6,Activities!$D21&gt;=6))),IF(Activities!$H21="Coaches","🌱 ",IF(Activities!$H21="Coordinators","⚙️ ",IF(Activities!$H21="Both","👥 ","")))&amp;Activities!$B21&amp;CHAR(10)&amp;REPT("●",Activities!$F21),"")</f>
        <v>🌱 Linked Learning microcredential program
●</v>
      </c>
      <c r="I21" s="7" t="str">
        <f>IF(AND(Activities!$A21&lt;&gt;"",IF(Activities!$E21&lt;&gt;"",ISNUMBER(SEARCH(",7,",","&amp;Activities!$E21&amp;",")),AND(Activities!$C21&lt;=7,Activities!$D21&gt;=7))),IF(Activities!$H21="Coaches","🌱 ",IF(Activities!$H21="Coordinators","⚙️ ",IF(Activities!$H21="Both","👥 ","")))&amp;Activities!$B21&amp;CHAR(10)&amp;REPT("●",Activities!$F21),"")</f>
        <v>🌱 Linked Learning microcredential program
●</v>
      </c>
      <c r="J21" s="7" t="str">
        <f>IF(AND(Activities!$A21&lt;&gt;"",IF(Activities!$E21&lt;&gt;"",ISNUMBER(SEARCH(",8,",","&amp;Activities!$E21&amp;",")),AND(Activities!$C21&lt;=8,Activities!$D21&gt;=8))),IF(Activities!$H21="Coaches","🌱 ",IF(Activities!$H21="Coordinators","⚙️ ",IF(Activities!$H21="Both","👥 ","")))&amp;Activities!$B21&amp;CHAR(10)&amp;REPT("●",Activities!$F21),"")</f>
        <v>🌱 Linked Learning microcredential program
●</v>
      </c>
      <c r="K21" s="7" t="str">
        <f>IF(AND(Activities!$A21&lt;&gt;"",IF(Activities!$E21&lt;&gt;"",ISNUMBER(SEARCH(",9,",","&amp;Activities!$E21&amp;",")),AND(Activities!$C21&lt;=9,Activities!$D21&gt;=9))),IF(Activities!$H21="Coaches","🌱 ",IF(Activities!$H21="Coordinators","⚙️ ",IF(Activities!$H21="Both","👥 ","")))&amp;Activities!$B21&amp;CHAR(10)&amp;REPT("●",Activities!$F21),"")</f>
        <v>🌱 Linked Learning microcredential program
●</v>
      </c>
      <c r="L21" s="7" t="str">
        <f>IF(AND(Activities!$A21&lt;&gt;"",IF(Activities!$E21&lt;&gt;"",ISNUMBER(SEARCH(",10,",","&amp;Activities!$E21&amp;",")),AND(Activities!$C21&lt;=10,Activities!$D21&gt;=10))),IF(Activities!$H21="Coaches","🌱 ",IF(Activities!$H21="Coordinators","⚙️ ",IF(Activities!$H21="Both","👥 ","")))&amp;Activities!$B21&amp;CHAR(10)&amp;REPT("●",Activities!$F21),"")</f>
        <v>🌱 Linked Learning microcredential program
●</v>
      </c>
      <c r="M21" s="7" t="str">
        <f>IF(AND(Activities!$A21&lt;&gt;"",IF(Activities!$E21&lt;&gt;"",ISNUMBER(SEARCH(",11,",","&amp;Activities!$E21&amp;",")),AND(Activities!$C21&lt;=11,Activities!$D21&gt;=11))),IF(Activities!$H21="Coaches","🌱 ",IF(Activities!$H21="Coordinators","⚙️ ",IF(Activities!$H21="Both","👥 ","")))&amp;Activities!$B21&amp;CHAR(10)&amp;REPT("●",Activities!$F21),"")</f>
        <v>🌱 Linked Learning microcredential program
●</v>
      </c>
      <c r="N21" s="7" t="str">
        <f>IF(AND(Activities!$A21&lt;&gt;"",IF(Activities!$E21&lt;&gt;"",ISNUMBER(SEARCH(",12,",","&amp;Activities!$E21&amp;",")),AND(Activities!$C21&lt;=12,Activities!$D21&gt;=12))),IF(Activities!$H21="Coaches","🌱 ",IF(Activities!$H21="Coordinators","⚙️ ",IF(Activities!$H21="Both","👥 ","")))&amp;Activities!$B21&amp;CHAR(10)&amp;REPT("●",Activities!$F21),"")</f>
        <v/>
      </c>
    </row>
    <row r="22" spans="1:14" s="8" customFormat="1" ht="60">
      <c r="A22" s="14" t="str">
        <f>IF(Activities!$A22&lt;&gt;"",Activities!$A22,"")</f>
        <v>Professional Learning &amp; Leadership</v>
      </c>
      <c r="B22" s="7" t="str">
        <f>IF(Activities!$B22&lt;&gt;"",Activities!$B22,"")</f>
        <v>Administrator Linked Learning information sessions</v>
      </c>
      <c r="C22" s="7" t="str">
        <f>IF(AND(Activities!$A22&lt;&gt;"",IF(Activities!$E22&lt;&gt;"",ISNUMBER(SEARCH(",1,",","&amp;Activities!$E22&amp;",")),AND(Activities!$C22&lt;=1,Activities!$D22&gt;=1))),IF(Activities!$H22="Coaches","🌱 ",IF(Activities!$H22="Coordinators","⚙️ ",IF(Activities!$H22="Both","👥 ","")))&amp;Activities!$B22&amp;CHAR(10)&amp;REPT("●",Activities!$F22),"")</f>
        <v>🌱 Administrator Linked Learning information sessions
●●</v>
      </c>
      <c r="D22" s="7" t="str">
        <f>IF(AND(Activities!$A22&lt;&gt;"",IF(Activities!$E22&lt;&gt;"",ISNUMBER(SEARCH(",2,",","&amp;Activities!$E22&amp;",")),AND(Activities!$C22&lt;=2,Activities!$D22&gt;=2))),IF(Activities!$H22="Coaches","🌱 ",IF(Activities!$H22="Coordinators","⚙️ ",IF(Activities!$H22="Both","👥 ","")))&amp;Activities!$B22&amp;CHAR(10)&amp;REPT("●",Activities!$F22),"")</f>
        <v>🌱 Administrator Linked Learning information sessions
●●</v>
      </c>
      <c r="E22" s="7" t="str">
        <f>IF(AND(Activities!$A22&lt;&gt;"",IF(Activities!$E22&lt;&gt;"",ISNUMBER(SEARCH(",3,",","&amp;Activities!$E22&amp;",")),AND(Activities!$C22&lt;=3,Activities!$D22&gt;=3))),IF(Activities!$H22="Coaches","🌱 ",IF(Activities!$H22="Coordinators","⚙️ ",IF(Activities!$H22="Both","👥 ","")))&amp;Activities!$B22&amp;CHAR(10)&amp;REPT("●",Activities!$F22),"")</f>
        <v>🌱 Administrator Linked Learning information sessions
●●</v>
      </c>
      <c r="F22" s="7" t="str">
        <f>IF(AND(Activities!$A22&lt;&gt;"",IF(Activities!$E22&lt;&gt;"",ISNUMBER(SEARCH(",4,",","&amp;Activities!$E22&amp;",")),AND(Activities!$C22&lt;=4,Activities!$D22&gt;=4))),IF(Activities!$H22="Coaches","🌱 ",IF(Activities!$H22="Coordinators","⚙️ ",IF(Activities!$H22="Both","👥 ","")))&amp;Activities!$B22&amp;CHAR(10)&amp;REPT("●",Activities!$F22),"")</f>
        <v/>
      </c>
      <c r="G22" s="7" t="str">
        <f>IF(AND(Activities!$A22&lt;&gt;"",IF(Activities!$E22&lt;&gt;"",ISNUMBER(SEARCH(",5,",","&amp;Activities!$E22&amp;",")),AND(Activities!$C22&lt;=5,Activities!$D22&gt;=5))),IF(Activities!$H22="Coaches","🌱 ",IF(Activities!$H22="Coordinators","⚙️ ",IF(Activities!$H22="Both","👥 ","")))&amp;Activities!$B22&amp;CHAR(10)&amp;REPT("●",Activities!$F22),"")</f>
        <v/>
      </c>
      <c r="H22" s="7" t="str">
        <f>IF(AND(Activities!$A22&lt;&gt;"",IF(Activities!$E22&lt;&gt;"",ISNUMBER(SEARCH(",6,",","&amp;Activities!$E22&amp;",")),AND(Activities!$C22&lt;=6,Activities!$D22&gt;=6))),IF(Activities!$H22="Coaches","🌱 ",IF(Activities!$H22="Coordinators","⚙️ ",IF(Activities!$H22="Both","👥 ","")))&amp;Activities!$B22&amp;CHAR(10)&amp;REPT("●",Activities!$F22),"")</f>
        <v/>
      </c>
      <c r="I22" s="7" t="str">
        <f>IF(AND(Activities!$A22&lt;&gt;"",IF(Activities!$E22&lt;&gt;"",ISNUMBER(SEARCH(",7,",","&amp;Activities!$E22&amp;",")),AND(Activities!$C22&lt;=7,Activities!$D22&gt;=7))),IF(Activities!$H22="Coaches","🌱 ",IF(Activities!$H22="Coordinators","⚙️ ",IF(Activities!$H22="Both","👥 ","")))&amp;Activities!$B22&amp;CHAR(10)&amp;REPT("●",Activities!$F22),"")</f>
        <v/>
      </c>
      <c r="J22" s="7" t="str">
        <f>IF(AND(Activities!$A22&lt;&gt;"",IF(Activities!$E22&lt;&gt;"",ISNUMBER(SEARCH(",8,",","&amp;Activities!$E22&amp;",")),AND(Activities!$C22&lt;=8,Activities!$D22&gt;=8))),IF(Activities!$H22="Coaches","🌱 ",IF(Activities!$H22="Coordinators","⚙️ ",IF(Activities!$H22="Both","👥 ","")))&amp;Activities!$B22&amp;CHAR(10)&amp;REPT("●",Activities!$F22),"")</f>
        <v/>
      </c>
      <c r="K22" s="7" t="str">
        <f>IF(AND(Activities!$A22&lt;&gt;"",IF(Activities!$E22&lt;&gt;"",ISNUMBER(SEARCH(",9,",","&amp;Activities!$E22&amp;",")),AND(Activities!$C22&lt;=9,Activities!$D22&gt;=9))),IF(Activities!$H22="Coaches","🌱 ",IF(Activities!$H22="Coordinators","⚙️ ",IF(Activities!$H22="Both","👥 ","")))&amp;Activities!$B22&amp;CHAR(10)&amp;REPT("●",Activities!$F22),"")</f>
        <v/>
      </c>
      <c r="L22" s="7" t="str">
        <f>IF(AND(Activities!$A22&lt;&gt;"",IF(Activities!$E22&lt;&gt;"",ISNUMBER(SEARCH(",10,",","&amp;Activities!$E22&amp;",")),AND(Activities!$C22&lt;=10,Activities!$D22&gt;=10))),IF(Activities!$H22="Coaches","🌱 ",IF(Activities!$H22="Coordinators","⚙️ ",IF(Activities!$H22="Both","👥 ","")))&amp;Activities!$B22&amp;CHAR(10)&amp;REPT("●",Activities!$F22),"")</f>
        <v/>
      </c>
      <c r="M22" s="7" t="str">
        <f>IF(AND(Activities!$A22&lt;&gt;"",IF(Activities!$E22&lt;&gt;"",ISNUMBER(SEARCH(",11,",","&amp;Activities!$E22&amp;",")),AND(Activities!$C22&lt;=11,Activities!$D22&gt;=11))),IF(Activities!$H22="Coaches","🌱 ",IF(Activities!$H22="Coordinators","⚙️ ",IF(Activities!$H22="Both","👥 ","")))&amp;Activities!$B22&amp;CHAR(10)&amp;REPT("●",Activities!$F22),"")</f>
        <v/>
      </c>
      <c r="N22" s="7" t="str">
        <f>IF(AND(Activities!$A22&lt;&gt;"",IF(Activities!$E22&lt;&gt;"",ISNUMBER(SEARCH(",12,",","&amp;Activities!$E22&amp;",")),AND(Activities!$C22&lt;=12,Activities!$D22&gt;=12))),IF(Activities!$H22="Coaches","🌱 ",IF(Activities!$H22="Coordinators","⚙️ ",IF(Activities!$H22="Both","👥 ","")))&amp;Activities!$B22&amp;CHAR(10)&amp;REPT("●",Activities!$F22),"")</f>
        <v/>
      </c>
    </row>
    <row r="23" spans="1:14" s="8" customFormat="1" ht="60">
      <c r="A23" s="14" t="str">
        <f>IF(Activities!$A23&lt;&gt;"",Activities!$A23,"")</f>
        <v>Professional Learning &amp; Leadership</v>
      </c>
      <c r="B23" s="7" t="str">
        <f>IF(Activities!$B23&lt;&gt;"",Activities!$B23,"")</f>
        <v>LL Conference, Showcase &amp; recognition activities</v>
      </c>
      <c r="C23" s="7" t="str">
        <f>IF(AND(Activities!$A23&lt;&gt;"",IF(Activities!$E23&lt;&gt;"",ISNUMBER(SEARCH(",1,",","&amp;Activities!$E23&amp;",")),AND(Activities!$C23&lt;=1,Activities!$D23&gt;=1))),IF(Activities!$H23="Coaches","🌱 ",IF(Activities!$H23="Coordinators","⚙️ ",IF(Activities!$H23="Both","👥 ","")))&amp;Activities!$B23&amp;CHAR(10)&amp;REPT("●",Activities!$F23),"")</f>
        <v/>
      </c>
      <c r="D23" s="7" t="str">
        <f>IF(AND(Activities!$A23&lt;&gt;"",IF(Activities!$E23&lt;&gt;"",ISNUMBER(SEARCH(",2,",","&amp;Activities!$E23&amp;",")),AND(Activities!$C23&lt;=2,Activities!$D23&gt;=2))),IF(Activities!$H23="Coaches","🌱 ",IF(Activities!$H23="Coordinators","⚙️ ",IF(Activities!$H23="Both","👥 ","")))&amp;Activities!$B23&amp;CHAR(10)&amp;REPT("●",Activities!$F23),"")</f>
        <v/>
      </c>
      <c r="E23" s="7" t="str">
        <f>IF(AND(Activities!$A23&lt;&gt;"",IF(Activities!$E23&lt;&gt;"",ISNUMBER(SEARCH(",3,",","&amp;Activities!$E23&amp;",")),AND(Activities!$C23&lt;=3,Activities!$D23&gt;=3))),IF(Activities!$H23="Coaches","🌱 ",IF(Activities!$H23="Coordinators","⚙️ ",IF(Activities!$H23="Both","👥 ","")))&amp;Activities!$B23&amp;CHAR(10)&amp;REPT("●",Activities!$F23),"")</f>
        <v/>
      </c>
      <c r="F23" s="7" t="str">
        <f>IF(AND(Activities!$A23&lt;&gt;"",IF(Activities!$E23&lt;&gt;"",ISNUMBER(SEARCH(",4,",","&amp;Activities!$E23&amp;",")),AND(Activities!$C23&lt;=4,Activities!$D23&gt;=4))),IF(Activities!$H23="Coaches","🌱 ",IF(Activities!$H23="Coordinators","⚙️ ",IF(Activities!$H23="Both","👥 ","")))&amp;Activities!$B23&amp;CHAR(10)&amp;REPT("●",Activities!$F23),"")</f>
        <v>👥 LL Conference, Showcase &amp; recognition activities
●●</v>
      </c>
      <c r="G23" s="7" t="str">
        <f>IF(AND(Activities!$A23&lt;&gt;"",IF(Activities!$E23&lt;&gt;"",ISNUMBER(SEARCH(",5,",","&amp;Activities!$E23&amp;",")),AND(Activities!$C23&lt;=5,Activities!$D23&gt;=5))),IF(Activities!$H23="Coaches","🌱 ",IF(Activities!$H23="Coordinators","⚙️ ",IF(Activities!$H23="Both","👥 ","")))&amp;Activities!$B23&amp;CHAR(10)&amp;REPT("●",Activities!$F23),"")</f>
        <v/>
      </c>
      <c r="H23" s="7" t="str">
        <f>IF(AND(Activities!$A23&lt;&gt;"",IF(Activities!$E23&lt;&gt;"",ISNUMBER(SEARCH(",6,",","&amp;Activities!$E23&amp;",")),AND(Activities!$C23&lt;=6,Activities!$D23&gt;=6))),IF(Activities!$H23="Coaches","🌱 ",IF(Activities!$H23="Coordinators","⚙️ ",IF(Activities!$H23="Both","👥 ","")))&amp;Activities!$B23&amp;CHAR(10)&amp;REPT("●",Activities!$F23),"")</f>
        <v/>
      </c>
      <c r="I23" s="7" t="str">
        <f>IF(AND(Activities!$A23&lt;&gt;"",IF(Activities!$E23&lt;&gt;"",ISNUMBER(SEARCH(",7,",","&amp;Activities!$E23&amp;",")),AND(Activities!$C23&lt;=7,Activities!$D23&gt;=7))),IF(Activities!$H23="Coaches","🌱 ",IF(Activities!$H23="Coordinators","⚙️ ",IF(Activities!$H23="Both","👥 ","")))&amp;Activities!$B23&amp;CHAR(10)&amp;REPT("●",Activities!$F23),"")</f>
        <v/>
      </c>
      <c r="J23" s="7" t="str">
        <f>IF(AND(Activities!$A23&lt;&gt;"",IF(Activities!$E23&lt;&gt;"",ISNUMBER(SEARCH(",8,",","&amp;Activities!$E23&amp;",")),AND(Activities!$C23&lt;=8,Activities!$D23&gt;=8))),IF(Activities!$H23="Coaches","🌱 ",IF(Activities!$H23="Coordinators","⚙️ ",IF(Activities!$H23="Both","👥 ","")))&amp;Activities!$B23&amp;CHAR(10)&amp;REPT("●",Activities!$F23),"")</f>
        <v/>
      </c>
      <c r="K23" s="7" t="str">
        <f>IF(AND(Activities!$A23&lt;&gt;"",IF(Activities!$E23&lt;&gt;"",ISNUMBER(SEARCH(",9,",","&amp;Activities!$E23&amp;",")),AND(Activities!$C23&lt;=9,Activities!$D23&gt;=9))),IF(Activities!$H23="Coaches","🌱 ",IF(Activities!$H23="Coordinators","⚙️ ",IF(Activities!$H23="Both","👥 ","")))&amp;Activities!$B23&amp;CHAR(10)&amp;REPT("●",Activities!$F23),"")</f>
        <v>👥 LL Conference, Showcase &amp; recognition activities
●●</v>
      </c>
      <c r="L23" s="7" t="str">
        <f>IF(AND(Activities!$A23&lt;&gt;"",IF(Activities!$E23&lt;&gt;"",ISNUMBER(SEARCH(",10,",","&amp;Activities!$E23&amp;",")),AND(Activities!$C23&lt;=10,Activities!$D23&gt;=10))),IF(Activities!$H23="Coaches","🌱 ",IF(Activities!$H23="Coordinators","⚙️ ",IF(Activities!$H23="Both","👥 ","")))&amp;Activities!$B23&amp;CHAR(10)&amp;REPT("●",Activities!$F23),"")</f>
        <v>👥 LL Conference, Showcase &amp; recognition activities
●●</v>
      </c>
      <c r="M23" s="7" t="str">
        <f>IF(AND(Activities!$A23&lt;&gt;"",IF(Activities!$E23&lt;&gt;"",ISNUMBER(SEARCH(",11,",","&amp;Activities!$E23&amp;",")),AND(Activities!$C23&lt;=11,Activities!$D23&gt;=11))),IF(Activities!$H23="Coaches","🌱 ",IF(Activities!$H23="Coordinators","⚙️ ",IF(Activities!$H23="Both","👥 ","")))&amp;Activities!$B23&amp;CHAR(10)&amp;REPT("●",Activities!$F23),"")</f>
        <v/>
      </c>
      <c r="N23" s="7" t="str">
        <f>IF(AND(Activities!$A23&lt;&gt;"",IF(Activities!$E23&lt;&gt;"",ISNUMBER(SEARCH(",12,",","&amp;Activities!$E23&amp;",")),AND(Activities!$C23&lt;=12,Activities!$D23&gt;=12))),IF(Activities!$H23="Coaches","🌱 ",IF(Activities!$H23="Coordinators","⚙️ ",IF(Activities!$H23="Both","👥 ","")))&amp;Activities!$B23&amp;CHAR(10)&amp;REPT("●",Activities!$F23),"")</f>
        <v/>
      </c>
    </row>
    <row r="24" spans="1:14" s="8" customFormat="1" ht="60">
      <c r="A24" s="14" t="str">
        <f>IF(Activities!$A24&lt;&gt;"",Activities!$A24,"")</f>
        <v>Professional Learning &amp; Leadership</v>
      </c>
      <c r="B24" s="7" t="str">
        <f>IF(Activities!$B24&lt;&gt;"",Activities!$B24,"")</f>
        <v>Department planning, team committees &amp; cross-functional coordination</v>
      </c>
      <c r="C24" s="7" t="str">
        <f>IF(AND(Activities!$A24&lt;&gt;"",IF(Activities!$E24&lt;&gt;"",ISNUMBER(SEARCH(",1,",","&amp;Activities!$E24&amp;",")),AND(Activities!$C24&lt;=1,Activities!$D24&gt;=1))),IF(Activities!$H24="Coaches","🌱 ",IF(Activities!$H24="Coordinators","⚙️ ",IF(Activities!$H24="Both","👥 ","")))&amp;Activities!$B24&amp;CHAR(10)&amp;REPT("●",Activities!$F24),"")</f>
        <v/>
      </c>
      <c r="D24" s="7" t="str">
        <f>IF(AND(Activities!$A24&lt;&gt;"",IF(Activities!$E24&lt;&gt;"",ISNUMBER(SEARCH(",2,",","&amp;Activities!$E24&amp;",")),AND(Activities!$C24&lt;=2,Activities!$D24&gt;=2))),IF(Activities!$H24="Coaches","🌱 ",IF(Activities!$H24="Coordinators","⚙️ ",IF(Activities!$H24="Both","👥 ","")))&amp;Activities!$B24&amp;CHAR(10)&amp;REPT("●",Activities!$F24),"")</f>
        <v>👥 Department planning, team committees &amp; cross-functional coordination
●</v>
      </c>
      <c r="E24" s="7" t="str">
        <f>IF(AND(Activities!$A24&lt;&gt;"",IF(Activities!$E24&lt;&gt;"",ISNUMBER(SEARCH(",3,",","&amp;Activities!$E24&amp;",")),AND(Activities!$C24&lt;=3,Activities!$D24&gt;=3))),IF(Activities!$H24="Coaches","🌱 ",IF(Activities!$H24="Coordinators","⚙️ ",IF(Activities!$H24="Both","👥 ","")))&amp;Activities!$B24&amp;CHAR(10)&amp;REPT("●",Activities!$F24),"")</f>
        <v>👥 Department planning, team committees &amp; cross-functional coordination
●</v>
      </c>
      <c r="F24" s="7" t="str">
        <f>IF(AND(Activities!$A24&lt;&gt;"",IF(Activities!$E24&lt;&gt;"",ISNUMBER(SEARCH(",4,",","&amp;Activities!$E24&amp;",")),AND(Activities!$C24&lt;=4,Activities!$D24&gt;=4))),IF(Activities!$H24="Coaches","🌱 ",IF(Activities!$H24="Coordinators","⚙️ ",IF(Activities!$H24="Both","👥 ","")))&amp;Activities!$B24&amp;CHAR(10)&amp;REPT("●",Activities!$F24),"")</f>
        <v>👥 Department planning, team committees &amp; cross-functional coordination
●</v>
      </c>
      <c r="G24" s="7" t="str">
        <f>IF(AND(Activities!$A24&lt;&gt;"",IF(Activities!$E24&lt;&gt;"",ISNUMBER(SEARCH(",5,",","&amp;Activities!$E24&amp;",")),AND(Activities!$C24&lt;=5,Activities!$D24&gt;=5))),IF(Activities!$H24="Coaches","🌱 ",IF(Activities!$H24="Coordinators","⚙️ ",IF(Activities!$H24="Both","👥 ","")))&amp;Activities!$B24&amp;CHAR(10)&amp;REPT("●",Activities!$F24),"")</f>
        <v>👥 Department planning, team committees &amp; cross-functional coordination
●</v>
      </c>
      <c r="H24" s="7" t="str">
        <f>IF(AND(Activities!$A24&lt;&gt;"",IF(Activities!$E24&lt;&gt;"",ISNUMBER(SEARCH(",6,",","&amp;Activities!$E24&amp;",")),AND(Activities!$C24&lt;=6,Activities!$D24&gt;=6))),IF(Activities!$H24="Coaches","🌱 ",IF(Activities!$H24="Coordinators","⚙️ ",IF(Activities!$H24="Both","👥 ","")))&amp;Activities!$B24&amp;CHAR(10)&amp;REPT("●",Activities!$F24),"")</f>
        <v>👥 Department planning, team committees &amp; cross-functional coordination
●</v>
      </c>
      <c r="I24" s="7" t="str">
        <f>IF(AND(Activities!$A24&lt;&gt;"",IF(Activities!$E24&lt;&gt;"",ISNUMBER(SEARCH(",7,",","&amp;Activities!$E24&amp;",")),AND(Activities!$C24&lt;=7,Activities!$D24&gt;=7))),IF(Activities!$H24="Coaches","🌱 ",IF(Activities!$H24="Coordinators","⚙️ ",IF(Activities!$H24="Both","👥 ","")))&amp;Activities!$B24&amp;CHAR(10)&amp;REPT("●",Activities!$F24),"")</f>
        <v>👥 Department planning, team committees &amp; cross-functional coordination
●</v>
      </c>
      <c r="J24" s="7" t="str">
        <f>IF(AND(Activities!$A24&lt;&gt;"",IF(Activities!$E24&lt;&gt;"",ISNUMBER(SEARCH(",8,",","&amp;Activities!$E24&amp;",")),AND(Activities!$C24&lt;=8,Activities!$D24&gt;=8))),IF(Activities!$H24="Coaches","🌱 ",IF(Activities!$H24="Coordinators","⚙️ ",IF(Activities!$H24="Both","👥 ","")))&amp;Activities!$B24&amp;CHAR(10)&amp;REPT("●",Activities!$F24),"")</f>
        <v>👥 Department planning, team committees &amp; cross-functional coordination
●</v>
      </c>
      <c r="K24" s="7" t="str">
        <f>IF(AND(Activities!$A24&lt;&gt;"",IF(Activities!$E24&lt;&gt;"",ISNUMBER(SEARCH(",9,",","&amp;Activities!$E24&amp;",")),AND(Activities!$C24&lt;=9,Activities!$D24&gt;=9))),IF(Activities!$H24="Coaches","🌱 ",IF(Activities!$H24="Coordinators","⚙️ ",IF(Activities!$H24="Both","👥 ","")))&amp;Activities!$B24&amp;CHAR(10)&amp;REPT("●",Activities!$F24),"")</f>
        <v>👥 Department planning, team committees &amp; cross-functional coordination
●</v>
      </c>
      <c r="L24" s="7" t="str">
        <f>IF(AND(Activities!$A24&lt;&gt;"",IF(Activities!$E24&lt;&gt;"",ISNUMBER(SEARCH(",10,",","&amp;Activities!$E24&amp;",")),AND(Activities!$C24&lt;=10,Activities!$D24&gt;=10))),IF(Activities!$H24="Coaches","🌱 ",IF(Activities!$H24="Coordinators","⚙️ ",IF(Activities!$H24="Both","👥 ","")))&amp;Activities!$B24&amp;CHAR(10)&amp;REPT("●",Activities!$F24),"")</f>
        <v/>
      </c>
      <c r="M24" s="7" t="str">
        <f>IF(AND(Activities!$A24&lt;&gt;"",IF(Activities!$E24&lt;&gt;"",ISNUMBER(SEARCH(",11,",","&amp;Activities!$E24&amp;",")),AND(Activities!$C24&lt;=11,Activities!$D24&gt;=11))),IF(Activities!$H24="Coaches","🌱 ",IF(Activities!$H24="Coordinators","⚙️ ",IF(Activities!$H24="Both","👥 ","")))&amp;Activities!$B24&amp;CHAR(10)&amp;REPT("●",Activities!$F24),"")</f>
        <v/>
      </c>
      <c r="N24" s="7" t="str">
        <f>IF(AND(Activities!$A24&lt;&gt;"",IF(Activities!$E24&lt;&gt;"",ISNUMBER(SEARCH(",12,",","&amp;Activities!$E24&amp;",")),AND(Activities!$C24&lt;=12,Activities!$D24&gt;=12))),IF(Activities!$H24="Coaches","🌱 ",IF(Activities!$H24="Coordinators","⚙️ ",IF(Activities!$H24="Both","👥 ","")))&amp;Activities!$B24&amp;CHAR(10)&amp;REPT("●",Activities!$F24),"")</f>
        <v/>
      </c>
    </row>
    <row r="25" spans="1:14" s="8" customFormat="1" ht="60">
      <c r="A25" s="14" t="str">
        <f>IF(Activities!$A25&lt;&gt;"",Activities!$A25,"")</f>
        <v>Professional Learning &amp; Leadership</v>
      </c>
      <c r="B25" s="7" t="str">
        <f>IF(Activities!$B25&lt;&gt;"",Activities!$B25,"")</f>
        <v>School Redesign Grant demonstration site visits</v>
      </c>
      <c r="C25" s="7" t="str">
        <f>IF(AND(Activities!$A25&lt;&gt;"",IF(Activities!$E25&lt;&gt;"",ISNUMBER(SEARCH(",1,",","&amp;Activities!$E25&amp;",")),AND(Activities!$C25&lt;=1,Activities!$D25&gt;=1))),IF(Activities!$H25="Coaches","🌱 ",IF(Activities!$H25="Coordinators","⚙️ ",IF(Activities!$H25="Both","👥 ","")))&amp;Activities!$B25&amp;CHAR(10)&amp;REPT("●",Activities!$F25),"")</f>
        <v/>
      </c>
      <c r="D25" s="7" t="str">
        <f>IF(AND(Activities!$A25&lt;&gt;"",IF(Activities!$E25&lt;&gt;"",ISNUMBER(SEARCH(",2,",","&amp;Activities!$E25&amp;",")),AND(Activities!$C25&lt;=2,Activities!$D25&gt;=2))),IF(Activities!$H25="Coaches","🌱 ",IF(Activities!$H25="Coordinators","⚙️ ",IF(Activities!$H25="Both","👥 ","")))&amp;Activities!$B25&amp;CHAR(10)&amp;REPT("●",Activities!$F25),"")</f>
        <v/>
      </c>
      <c r="E25" s="7" t="str">
        <f>IF(AND(Activities!$A25&lt;&gt;"",IF(Activities!$E25&lt;&gt;"",ISNUMBER(SEARCH(",3,",","&amp;Activities!$E25&amp;",")),AND(Activities!$C25&lt;=3,Activities!$D25&gt;=3))),IF(Activities!$H25="Coaches","🌱 ",IF(Activities!$H25="Coordinators","⚙️ ",IF(Activities!$H25="Both","👥 ","")))&amp;Activities!$B25&amp;CHAR(10)&amp;REPT("●",Activities!$F25),"")</f>
        <v>🌱 School Redesign Grant demonstration site visits
●●</v>
      </c>
      <c r="F25" s="7" t="str">
        <f>IF(AND(Activities!$A25&lt;&gt;"",IF(Activities!$E25&lt;&gt;"",ISNUMBER(SEARCH(",4,",","&amp;Activities!$E25&amp;",")),AND(Activities!$C25&lt;=4,Activities!$D25&gt;=4))),IF(Activities!$H25="Coaches","🌱 ",IF(Activities!$H25="Coordinators","⚙️ ",IF(Activities!$H25="Both","👥 ","")))&amp;Activities!$B25&amp;CHAR(10)&amp;REPT("●",Activities!$F25),"")</f>
        <v/>
      </c>
      <c r="G25" s="7" t="str">
        <f>IF(AND(Activities!$A25&lt;&gt;"",IF(Activities!$E25&lt;&gt;"",ISNUMBER(SEARCH(",5,",","&amp;Activities!$E25&amp;",")),AND(Activities!$C25&lt;=5,Activities!$D25&gt;=5))),IF(Activities!$H25="Coaches","🌱 ",IF(Activities!$H25="Coordinators","⚙️ ",IF(Activities!$H25="Both","👥 ","")))&amp;Activities!$B25&amp;CHAR(10)&amp;REPT("●",Activities!$F25),"")</f>
        <v>🌱 School Redesign Grant demonstration site visits
●●</v>
      </c>
      <c r="H25" s="7" t="str">
        <f>IF(AND(Activities!$A25&lt;&gt;"",IF(Activities!$E25&lt;&gt;"",ISNUMBER(SEARCH(",6,",","&amp;Activities!$E25&amp;",")),AND(Activities!$C25&lt;=6,Activities!$D25&gt;=6))),IF(Activities!$H25="Coaches","🌱 ",IF(Activities!$H25="Coordinators","⚙️ ",IF(Activities!$H25="Both","👥 ","")))&amp;Activities!$B25&amp;CHAR(10)&amp;REPT("●",Activities!$F25),"")</f>
        <v/>
      </c>
      <c r="I25" s="7" t="str">
        <f>IF(AND(Activities!$A25&lt;&gt;"",IF(Activities!$E25&lt;&gt;"",ISNUMBER(SEARCH(",7,",","&amp;Activities!$E25&amp;",")),AND(Activities!$C25&lt;=7,Activities!$D25&gt;=7))),IF(Activities!$H25="Coaches","🌱 ",IF(Activities!$H25="Coordinators","⚙️ ",IF(Activities!$H25="Both","👥 ","")))&amp;Activities!$B25&amp;CHAR(10)&amp;REPT("●",Activities!$F25),"")</f>
        <v/>
      </c>
      <c r="J25" s="7" t="str">
        <f>IF(AND(Activities!$A25&lt;&gt;"",IF(Activities!$E25&lt;&gt;"",ISNUMBER(SEARCH(",8,",","&amp;Activities!$E25&amp;",")),AND(Activities!$C25&lt;=8,Activities!$D25&gt;=8))),IF(Activities!$H25="Coaches","🌱 ",IF(Activities!$H25="Coordinators","⚙️ ",IF(Activities!$H25="Both","👥 ","")))&amp;Activities!$B25&amp;CHAR(10)&amp;REPT("●",Activities!$F25),"")</f>
        <v/>
      </c>
      <c r="K25" s="7" t="str">
        <f>IF(AND(Activities!$A25&lt;&gt;"",IF(Activities!$E25&lt;&gt;"",ISNUMBER(SEARCH(",9,",","&amp;Activities!$E25&amp;",")),AND(Activities!$C25&lt;=9,Activities!$D25&gt;=9))),IF(Activities!$H25="Coaches","🌱 ",IF(Activities!$H25="Coordinators","⚙️ ",IF(Activities!$H25="Both","👥 ","")))&amp;Activities!$B25&amp;CHAR(10)&amp;REPT("●",Activities!$F25),"")</f>
        <v>🌱 School Redesign Grant demonstration site visits
●●</v>
      </c>
      <c r="L25" s="7" t="str">
        <f>IF(AND(Activities!$A25&lt;&gt;"",IF(Activities!$E25&lt;&gt;"",ISNUMBER(SEARCH(",10,",","&amp;Activities!$E25&amp;",")),AND(Activities!$C25&lt;=10,Activities!$D25&gt;=10))),IF(Activities!$H25="Coaches","🌱 ",IF(Activities!$H25="Coordinators","⚙️ ",IF(Activities!$H25="Both","👥 ","")))&amp;Activities!$B25&amp;CHAR(10)&amp;REPT("●",Activities!$F25),"")</f>
        <v/>
      </c>
      <c r="M25" s="7" t="str">
        <f>IF(AND(Activities!$A25&lt;&gt;"",IF(Activities!$E25&lt;&gt;"",ISNUMBER(SEARCH(",11,",","&amp;Activities!$E25&amp;",")),AND(Activities!$C25&lt;=11,Activities!$D25&gt;=11))),IF(Activities!$H25="Coaches","🌱 ",IF(Activities!$H25="Coordinators","⚙️ ",IF(Activities!$H25="Both","👥 ","")))&amp;Activities!$B25&amp;CHAR(10)&amp;REPT("●",Activities!$F25),"")</f>
        <v/>
      </c>
      <c r="N25" s="7" t="str">
        <f>IF(AND(Activities!$A25&lt;&gt;"",IF(Activities!$E25&lt;&gt;"",ISNUMBER(SEARCH(",12,",","&amp;Activities!$E25&amp;",")),AND(Activities!$C25&lt;=12,Activities!$D25&gt;=12))),IF(Activities!$H25="Coaches","🌱 ",IF(Activities!$H25="Coordinators","⚙️ ",IF(Activities!$H25="Both","👥 ","")))&amp;Activities!$B25&amp;CHAR(10)&amp;REPT("●",Activities!$F25),"")</f>
        <v/>
      </c>
    </row>
    <row r="26" spans="1:14" s="8" customFormat="1" ht="60">
      <c r="A26" s="14" t="str">
        <f>IF(Activities!$A26&lt;&gt;"",Activities!$A26,"")</f>
        <v>WBL Planning, Partnerships &amp; Career Exposure</v>
      </c>
      <c r="B26" s="7" t="str">
        <f>IF(Activities!$B26&lt;&gt;"",Activities!$B26,"")</f>
        <v>Annual WBL plan, priorities, checkpoints &amp; year-end reflection</v>
      </c>
      <c r="C26" s="7" t="str">
        <f>IF(AND(Activities!$A26&lt;&gt;"",IF(Activities!$E26&lt;&gt;"",ISNUMBER(SEARCH(",1,",","&amp;Activities!$E26&amp;",")),AND(Activities!$C26&lt;=1,Activities!$D26&gt;=1))),IF(Activities!$H26="Coaches","🌱 ",IF(Activities!$H26="Coordinators","⚙️ ",IF(Activities!$H26="Both","👥 ","")))&amp;Activities!$B26&amp;CHAR(10)&amp;REPT("●",Activities!$F26),"")</f>
        <v>⚙️ Annual WBL plan, priorities, checkpoints &amp; year-end reflection
●●</v>
      </c>
      <c r="D26" s="7" t="str">
        <f>IF(AND(Activities!$A26&lt;&gt;"",IF(Activities!$E26&lt;&gt;"",ISNUMBER(SEARCH(",2,",","&amp;Activities!$E26&amp;",")),AND(Activities!$C26&lt;=2,Activities!$D26&gt;=2))),IF(Activities!$H26="Coaches","🌱 ",IF(Activities!$H26="Coordinators","⚙️ ",IF(Activities!$H26="Both","👥 ","")))&amp;Activities!$B26&amp;CHAR(10)&amp;REPT("●",Activities!$F26),"")</f>
        <v/>
      </c>
      <c r="E26" s="7" t="str">
        <f>IF(AND(Activities!$A26&lt;&gt;"",IF(Activities!$E26&lt;&gt;"",ISNUMBER(SEARCH(",3,",","&amp;Activities!$E26&amp;",")),AND(Activities!$C26&lt;=3,Activities!$D26&gt;=3))),IF(Activities!$H26="Coaches","🌱 ",IF(Activities!$H26="Coordinators","⚙️ ",IF(Activities!$H26="Both","👥 ","")))&amp;Activities!$B26&amp;CHAR(10)&amp;REPT("●",Activities!$F26),"")</f>
        <v>⚙️ Annual WBL plan, priorities, checkpoints &amp; year-end reflection
●●</v>
      </c>
      <c r="F26" s="7" t="str">
        <f>IF(AND(Activities!$A26&lt;&gt;"",IF(Activities!$E26&lt;&gt;"",ISNUMBER(SEARCH(",4,",","&amp;Activities!$E26&amp;",")),AND(Activities!$C26&lt;=4,Activities!$D26&gt;=4))),IF(Activities!$H26="Coaches","🌱 ",IF(Activities!$H26="Coordinators","⚙️ ",IF(Activities!$H26="Both","👥 ","")))&amp;Activities!$B26&amp;CHAR(10)&amp;REPT("●",Activities!$F26),"")</f>
        <v/>
      </c>
      <c r="G26" s="7" t="str">
        <f>IF(AND(Activities!$A26&lt;&gt;"",IF(Activities!$E26&lt;&gt;"",ISNUMBER(SEARCH(",5,",","&amp;Activities!$E26&amp;",")),AND(Activities!$C26&lt;=5,Activities!$D26&gt;=5))),IF(Activities!$H26="Coaches","🌱 ",IF(Activities!$H26="Coordinators","⚙️ ",IF(Activities!$H26="Both","👥 ","")))&amp;Activities!$B26&amp;CHAR(10)&amp;REPT("●",Activities!$F26),"")</f>
        <v/>
      </c>
      <c r="H26" s="7" t="str">
        <f>IF(AND(Activities!$A26&lt;&gt;"",IF(Activities!$E26&lt;&gt;"",ISNUMBER(SEARCH(",6,",","&amp;Activities!$E26&amp;",")),AND(Activities!$C26&lt;=6,Activities!$D26&gt;=6))),IF(Activities!$H26="Coaches","🌱 ",IF(Activities!$H26="Coordinators","⚙️ ",IF(Activities!$H26="Both","👥 ","")))&amp;Activities!$B26&amp;CHAR(10)&amp;REPT("●",Activities!$F26),"")</f>
        <v/>
      </c>
      <c r="I26" s="7" t="str">
        <f>IF(AND(Activities!$A26&lt;&gt;"",IF(Activities!$E26&lt;&gt;"",ISNUMBER(SEARCH(",7,",","&amp;Activities!$E26&amp;",")),AND(Activities!$C26&lt;=7,Activities!$D26&gt;=7))),IF(Activities!$H26="Coaches","🌱 ",IF(Activities!$H26="Coordinators","⚙️ ",IF(Activities!$H26="Both","👥 ","")))&amp;Activities!$B26&amp;CHAR(10)&amp;REPT("●",Activities!$F26),"")</f>
        <v>⚙️ Annual WBL plan, priorities, checkpoints &amp; year-end reflection
●●</v>
      </c>
      <c r="J26" s="7" t="str">
        <f>IF(AND(Activities!$A26&lt;&gt;"",IF(Activities!$E26&lt;&gt;"",ISNUMBER(SEARCH(",8,",","&amp;Activities!$E26&amp;",")),AND(Activities!$C26&lt;=8,Activities!$D26&gt;=8))),IF(Activities!$H26="Coaches","🌱 ",IF(Activities!$H26="Coordinators","⚙️ ",IF(Activities!$H26="Both","👥 ","")))&amp;Activities!$B26&amp;CHAR(10)&amp;REPT("●",Activities!$F26),"")</f>
        <v/>
      </c>
      <c r="K26" s="7" t="str">
        <f>IF(AND(Activities!$A26&lt;&gt;"",IF(Activities!$E26&lt;&gt;"",ISNUMBER(SEARCH(",9,",","&amp;Activities!$E26&amp;",")),AND(Activities!$C26&lt;=9,Activities!$D26&gt;=9))),IF(Activities!$H26="Coaches","🌱 ",IF(Activities!$H26="Coordinators","⚙️ ",IF(Activities!$H26="Both","👥 ","")))&amp;Activities!$B26&amp;CHAR(10)&amp;REPT("●",Activities!$F26),"")</f>
        <v>⚙️ Annual WBL plan, priorities, checkpoints &amp; year-end reflection
●●</v>
      </c>
      <c r="L26" s="7" t="str">
        <f>IF(AND(Activities!$A26&lt;&gt;"",IF(Activities!$E26&lt;&gt;"",ISNUMBER(SEARCH(",10,",","&amp;Activities!$E26&amp;",")),AND(Activities!$C26&lt;=10,Activities!$D26&gt;=10))),IF(Activities!$H26="Coaches","🌱 ",IF(Activities!$H26="Coordinators","⚙️ ",IF(Activities!$H26="Both","👥 ","")))&amp;Activities!$B26&amp;CHAR(10)&amp;REPT("●",Activities!$F26),"")</f>
        <v/>
      </c>
      <c r="M26" s="7" t="str">
        <f>IF(AND(Activities!$A26&lt;&gt;"",IF(Activities!$E26&lt;&gt;"",ISNUMBER(SEARCH(",11,",","&amp;Activities!$E26&amp;",")),AND(Activities!$C26&lt;=11,Activities!$D26&gt;=11))),IF(Activities!$H26="Coaches","🌱 ",IF(Activities!$H26="Coordinators","⚙️ ",IF(Activities!$H26="Both","👥 ","")))&amp;Activities!$B26&amp;CHAR(10)&amp;REPT("●",Activities!$F26),"")</f>
        <v>⚙️ Annual WBL plan, priorities, checkpoints &amp; year-end reflection
●●</v>
      </c>
      <c r="N26" s="7" t="str">
        <f>IF(AND(Activities!$A26&lt;&gt;"",IF(Activities!$E26&lt;&gt;"",ISNUMBER(SEARCH(",12,",","&amp;Activities!$E26&amp;",")),AND(Activities!$C26&lt;=12,Activities!$D26&gt;=12))),IF(Activities!$H26="Coaches","🌱 ",IF(Activities!$H26="Coordinators","⚙️ ",IF(Activities!$H26="Both","👥 ","")))&amp;Activities!$B26&amp;CHAR(10)&amp;REPT("●",Activities!$F26),"")</f>
        <v>⚙️ Annual WBL plan, priorities, checkpoints &amp; year-end reflection
●●</v>
      </c>
    </row>
    <row r="27" spans="1:14" s="8" customFormat="1" ht="70">
      <c r="A27" s="14" t="str">
        <f>IF(Activities!$A27&lt;&gt;"",Activities!$A27,"")</f>
        <v>WBL Planning, Partnerships &amp; Career Exposure</v>
      </c>
      <c r="B27" s="7" t="str">
        <f>IF(Activities!$B27&lt;&gt;"",Activities!$B27,"")</f>
        <v>Employer/community partner outreach &amp; industry partnership development</v>
      </c>
      <c r="C27" s="7" t="str">
        <f>IF(AND(Activities!$A27&lt;&gt;"",IF(Activities!$E27&lt;&gt;"",ISNUMBER(SEARCH(",1,",","&amp;Activities!$E27&amp;",")),AND(Activities!$C27&lt;=1,Activities!$D27&gt;=1))),IF(Activities!$H27="Coaches","🌱 ",IF(Activities!$H27="Coordinators","⚙️ ",IF(Activities!$H27="Both","👥 ","")))&amp;Activities!$B27&amp;CHAR(10)&amp;REPT("●",Activities!$F27),"")</f>
        <v/>
      </c>
      <c r="D27" s="7" t="str">
        <f>IF(AND(Activities!$A27&lt;&gt;"",IF(Activities!$E27&lt;&gt;"",ISNUMBER(SEARCH(",2,",","&amp;Activities!$E27&amp;",")),AND(Activities!$C27&lt;=2,Activities!$D27&gt;=2))),IF(Activities!$H27="Coaches","🌱 ",IF(Activities!$H27="Coordinators","⚙️ ",IF(Activities!$H27="Both","👥 ","")))&amp;Activities!$B27&amp;CHAR(10)&amp;REPT("●",Activities!$F27),"")</f>
        <v>⚙️ Employer/community partner outreach &amp; industry partnership development
●●</v>
      </c>
      <c r="E27" s="7" t="str">
        <f>IF(AND(Activities!$A27&lt;&gt;"",IF(Activities!$E27&lt;&gt;"",ISNUMBER(SEARCH(",3,",","&amp;Activities!$E27&amp;",")),AND(Activities!$C27&lt;=3,Activities!$D27&gt;=3))),IF(Activities!$H27="Coaches","🌱 ",IF(Activities!$H27="Coordinators","⚙️ ",IF(Activities!$H27="Both","👥 ","")))&amp;Activities!$B27&amp;CHAR(10)&amp;REPT("●",Activities!$F27),"")</f>
        <v>⚙️ Employer/community partner outreach &amp; industry partnership development
●●</v>
      </c>
      <c r="F27" s="7" t="str">
        <f>IF(AND(Activities!$A27&lt;&gt;"",IF(Activities!$E27&lt;&gt;"",ISNUMBER(SEARCH(",4,",","&amp;Activities!$E27&amp;",")),AND(Activities!$C27&lt;=4,Activities!$D27&gt;=4))),IF(Activities!$H27="Coaches","🌱 ",IF(Activities!$H27="Coordinators","⚙️ ",IF(Activities!$H27="Both","👥 ","")))&amp;Activities!$B27&amp;CHAR(10)&amp;REPT("●",Activities!$F27),"")</f>
        <v>⚙️ Employer/community partner outreach &amp; industry partnership development
●●</v>
      </c>
      <c r="G27" s="7" t="str">
        <f>IF(AND(Activities!$A27&lt;&gt;"",IF(Activities!$E27&lt;&gt;"",ISNUMBER(SEARCH(",5,",","&amp;Activities!$E27&amp;",")),AND(Activities!$C27&lt;=5,Activities!$D27&gt;=5))),IF(Activities!$H27="Coaches","🌱 ",IF(Activities!$H27="Coordinators","⚙️ ",IF(Activities!$H27="Both","👥 ","")))&amp;Activities!$B27&amp;CHAR(10)&amp;REPT("●",Activities!$F27),"")</f>
        <v>⚙️ Employer/community partner outreach &amp; industry partnership development
●●</v>
      </c>
      <c r="H27" s="7" t="str">
        <f>IF(AND(Activities!$A27&lt;&gt;"",IF(Activities!$E27&lt;&gt;"",ISNUMBER(SEARCH(",6,",","&amp;Activities!$E27&amp;",")),AND(Activities!$C27&lt;=6,Activities!$D27&gt;=6))),IF(Activities!$H27="Coaches","🌱 ",IF(Activities!$H27="Coordinators","⚙️ ",IF(Activities!$H27="Both","👥 ","")))&amp;Activities!$B27&amp;CHAR(10)&amp;REPT("●",Activities!$F27),"")</f>
        <v>⚙️ Employer/community partner outreach &amp; industry partnership development
●●</v>
      </c>
      <c r="I27" s="7" t="str">
        <f>IF(AND(Activities!$A27&lt;&gt;"",IF(Activities!$E27&lt;&gt;"",ISNUMBER(SEARCH(",7,",","&amp;Activities!$E27&amp;",")),AND(Activities!$C27&lt;=7,Activities!$D27&gt;=7))),IF(Activities!$H27="Coaches","🌱 ",IF(Activities!$H27="Coordinators","⚙️ ",IF(Activities!$H27="Both","👥 ","")))&amp;Activities!$B27&amp;CHAR(10)&amp;REPT("●",Activities!$F27),"")</f>
        <v>⚙️ Employer/community partner outreach &amp; industry partnership development
●●</v>
      </c>
      <c r="J27" s="7" t="str">
        <f>IF(AND(Activities!$A27&lt;&gt;"",IF(Activities!$E27&lt;&gt;"",ISNUMBER(SEARCH(",8,",","&amp;Activities!$E27&amp;",")),AND(Activities!$C27&lt;=8,Activities!$D27&gt;=8))),IF(Activities!$H27="Coaches","🌱 ",IF(Activities!$H27="Coordinators","⚙️ ",IF(Activities!$H27="Both","👥 ","")))&amp;Activities!$B27&amp;CHAR(10)&amp;REPT("●",Activities!$F27),"")</f>
        <v>⚙️ Employer/community partner outreach &amp; industry partnership development
●●</v>
      </c>
      <c r="K27" s="7" t="str">
        <f>IF(AND(Activities!$A27&lt;&gt;"",IF(Activities!$E27&lt;&gt;"",ISNUMBER(SEARCH(",9,",","&amp;Activities!$E27&amp;",")),AND(Activities!$C27&lt;=9,Activities!$D27&gt;=9))),IF(Activities!$H27="Coaches","🌱 ",IF(Activities!$H27="Coordinators","⚙️ ",IF(Activities!$H27="Both","👥 ","")))&amp;Activities!$B27&amp;CHAR(10)&amp;REPT("●",Activities!$F27),"")</f>
        <v>⚙️ Employer/community partner outreach &amp; industry partnership development
●●</v>
      </c>
      <c r="L27" s="7" t="str">
        <f>IF(AND(Activities!$A27&lt;&gt;"",IF(Activities!$E27&lt;&gt;"",ISNUMBER(SEARCH(",10,",","&amp;Activities!$E27&amp;",")),AND(Activities!$C27&lt;=10,Activities!$D27&gt;=10))),IF(Activities!$H27="Coaches","🌱 ",IF(Activities!$H27="Coordinators","⚙️ ",IF(Activities!$H27="Both","👥 ","")))&amp;Activities!$B27&amp;CHAR(10)&amp;REPT("●",Activities!$F27),"")</f>
        <v>⚙️ Employer/community partner outreach &amp; industry partnership development
●●</v>
      </c>
      <c r="M27" s="7" t="str">
        <f>IF(AND(Activities!$A27&lt;&gt;"",IF(Activities!$E27&lt;&gt;"",ISNUMBER(SEARCH(",11,",","&amp;Activities!$E27&amp;",")),AND(Activities!$C27&lt;=11,Activities!$D27&gt;=11))),IF(Activities!$H27="Coaches","🌱 ",IF(Activities!$H27="Coordinators","⚙️ ",IF(Activities!$H27="Both","👥 ","")))&amp;Activities!$B27&amp;CHAR(10)&amp;REPT("●",Activities!$F27),"")</f>
        <v>⚙️ Employer/community partner outreach &amp; industry partnership development
●●</v>
      </c>
      <c r="N27" s="7" t="str">
        <f>IF(AND(Activities!$A27&lt;&gt;"",IF(Activities!$E27&lt;&gt;"",ISNUMBER(SEARCH(",12,",","&amp;Activities!$E27&amp;",")),AND(Activities!$C27&lt;=12,Activities!$D27&gt;=12))),IF(Activities!$H27="Coaches","🌱 ",IF(Activities!$H27="Coordinators","⚙️ ",IF(Activities!$H27="Both","👥 ","")))&amp;Activities!$B27&amp;CHAR(10)&amp;REPT("●",Activities!$F27),"")</f>
        <v>⚙️ Employer/community partner outreach &amp; industry partnership development
●●</v>
      </c>
    </row>
    <row r="28" spans="1:14" s="8" customFormat="1" ht="70">
      <c r="A28" s="14" t="str">
        <f>IF(Activities!$A28&lt;&gt;"",Activities!$A28,"")</f>
        <v>WBL Planning, Partnerships &amp; Career Exposure</v>
      </c>
      <c r="B28" s="7" t="str">
        <f>IF(Activities!$B28&lt;&gt;"",Activities!$B28,"")</f>
        <v>Career Days, college/career fairs &amp; pathway event planning/support</v>
      </c>
      <c r="C28" s="7" t="str">
        <f>IF(AND(Activities!$A28&lt;&gt;"",IF(Activities!$E28&lt;&gt;"",ISNUMBER(SEARCH(",1,",","&amp;Activities!$E28&amp;",")),AND(Activities!$C28&lt;=1,Activities!$D28&gt;=1))),IF(Activities!$H28="Coaches","🌱 ",IF(Activities!$H28="Coordinators","⚙️ ",IF(Activities!$H28="Both","👥 ","")))&amp;Activities!$B28&amp;CHAR(10)&amp;REPT("●",Activities!$F28),"")</f>
        <v/>
      </c>
      <c r="D28" s="7" t="str">
        <f>IF(AND(Activities!$A28&lt;&gt;"",IF(Activities!$E28&lt;&gt;"",ISNUMBER(SEARCH(",2,",","&amp;Activities!$E28&amp;",")),AND(Activities!$C28&lt;=2,Activities!$D28&gt;=2))),IF(Activities!$H28="Coaches","🌱 ",IF(Activities!$H28="Coordinators","⚙️ ",IF(Activities!$H28="Both","👥 ","")))&amp;Activities!$B28&amp;CHAR(10)&amp;REPT("●",Activities!$F28),"")</f>
        <v/>
      </c>
      <c r="E28" s="7" t="str">
        <f>IF(AND(Activities!$A28&lt;&gt;"",IF(Activities!$E28&lt;&gt;"",ISNUMBER(SEARCH(",3,",","&amp;Activities!$E28&amp;",")),AND(Activities!$C28&lt;=3,Activities!$D28&gt;=3))),IF(Activities!$H28="Coaches","🌱 ",IF(Activities!$H28="Coordinators","⚙️ ",IF(Activities!$H28="Both","👥 ","")))&amp;Activities!$B28&amp;CHAR(10)&amp;REPT("●",Activities!$F28),"")</f>
        <v>⚙️ Career Days, college/career fairs &amp; pathway event planning/support
●●●</v>
      </c>
      <c r="F28" s="7" t="str">
        <f>IF(AND(Activities!$A28&lt;&gt;"",IF(Activities!$E28&lt;&gt;"",ISNUMBER(SEARCH(",4,",","&amp;Activities!$E28&amp;",")),AND(Activities!$C28&lt;=4,Activities!$D28&gt;=4))),IF(Activities!$H28="Coaches","🌱 ",IF(Activities!$H28="Coordinators","⚙️ ",IF(Activities!$H28="Both","👥 ","")))&amp;Activities!$B28&amp;CHAR(10)&amp;REPT("●",Activities!$F28),"")</f>
        <v>⚙️ Career Days, college/career fairs &amp; pathway event planning/support
●●●</v>
      </c>
      <c r="G28" s="7" t="str">
        <f>IF(AND(Activities!$A28&lt;&gt;"",IF(Activities!$E28&lt;&gt;"",ISNUMBER(SEARCH(",5,",","&amp;Activities!$E28&amp;",")),AND(Activities!$C28&lt;=5,Activities!$D28&gt;=5))),IF(Activities!$H28="Coaches","🌱 ",IF(Activities!$H28="Coordinators","⚙️ ",IF(Activities!$H28="Both","👥 ","")))&amp;Activities!$B28&amp;CHAR(10)&amp;REPT("●",Activities!$F28),"")</f>
        <v>⚙️ Career Days, college/career fairs &amp; pathway event planning/support
●●●</v>
      </c>
      <c r="H28" s="7" t="str">
        <f>IF(AND(Activities!$A28&lt;&gt;"",IF(Activities!$E28&lt;&gt;"",ISNUMBER(SEARCH(",6,",","&amp;Activities!$E28&amp;",")),AND(Activities!$C28&lt;=6,Activities!$D28&gt;=6))),IF(Activities!$H28="Coaches","🌱 ",IF(Activities!$H28="Coordinators","⚙️ ",IF(Activities!$H28="Both","👥 ","")))&amp;Activities!$B28&amp;CHAR(10)&amp;REPT("●",Activities!$F28),"")</f>
        <v>⚙️ Career Days, college/career fairs &amp; pathway event planning/support
●●●</v>
      </c>
      <c r="I28" s="7" t="str">
        <f>IF(AND(Activities!$A28&lt;&gt;"",IF(Activities!$E28&lt;&gt;"",ISNUMBER(SEARCH(",7,",","&amp;Activities!$E28&amp;",")),AND(Activities!$C28&lt;=7,Activities!$D28&gt;=7))),IF(Activities!$H28="Coaches","🌱 ",IF(Activities!$H28="Coordinators","⚙️ ",IF(Activities!$H28="Both","👥 ","")))&amp;Activities!$B28&amp;CHAR(10)&amp;REPT("●",Activities!$F28),"")</f>
        <v>⚙️ Career Days, college/career fairs &amp; pathway event planning/support
●●●</v>
      </c>
      <c r="J28" s="7" t="str">
        <f>IF(AND(Activities!$A28&lt;&gt;"",IF(Activities!$E28&lt;&gt;"",ISNUMBER(SEARCH(",8,",","&amp;Activities!$E28&amp;",")),AND(Activities!$C28&lt;=8,Activities!$D28&gt;=8))),IF(Activities!$H28="Coaches","🌱 ",IF(Activities!$H28="Coordinators","⚙️ ",IF(Activities!$H28="Both","👥 ","")))&amp;Activities!$B28&amp;CHAR(10)&amp;REPT("●",Activities!$F28),"")</f>
        <v>⚙️ Career Days, college/career fairs &amp; pathway event planning/support
●●●</v>
      </c>
      <c r="K28" s="7" t="str">
        <f>IF(AND(Activities!$A28&lt;&gt;"",IF(Activities!$E28&lt;&gt;"",ISNUMBER(SEARCH(",9,",","&amp;Activities!$E28&amp;",")),AND(Activities!$C28&lt;=9,Activities!$D28&gt;=9))),IF(Activities!$H28="Coaches","🌱 ",IF(Activities!$H28="Coordinators","⚙️ ",IF(Activities!$H28="Both","👥 ","")))&amp;Activities!$B28&amp;CHAR(10)&amp;REPT("●",Activities!$F28),"")</f>
        <v>⚙️ Career Days, college/career fairs &amp; pathway event planning/support
●●●</v>
      </c>
      <c r="L28" s="7" t="str">
        <f>IF(AND(Activities!$A28&lt;&gt;"",IF(Activities!$E28&lt;&gt;"",ISNUMBER(SEARCH(",10,",","&amp;Activities!$E28&amp;",")),AND(Activities!$C28&lt;=10,Activities!$D28&gt;=10))),IF(Activities!$H28="Coaches","🌱 ",IF(Activities!$H28="Coordinators","⚙️ ",IF(Activities!$H28="Both","👥 ","")))&amp;Activities!$B28&amp;CHAR(10)&amp;REPT("●",Activities!$F28),"")</f>
        <v>⚙️ Career Days, college/career fairs &amp; pathway event planning/support
●●●</v>
      </c>
      <c r="M28" s="7" t="str">
        <f>IF(AND(Activities!$A28&lt;&gt;"",IF(Activities!$E28&lt;&gt;"",ISNUMBER(SEARCH(",11,",","&amp;Activities!$E28&amp;",")),AND(Activities!$C28&lt;=11,Activities!$D28&gt;=11))),IF(Activities!$H28="Coaches","🌱 ",IF(Activities!$H28="Coordinators","⚙️ ",IF(Activities!$H28="Both","👥 ","")))&amp;Activities!$B28&amp;CHAR(10)&amp;REPT("●",Activities!$F28),"")</f>
        <v>⚙️ Career Days, college/career fairs &amp; pathway event planning/support
●●●</v>
      </c>
      <c r="N28" s="7" t="str">
        <f>IF(AND(Activities!$A28&lt;&gt;"",IF(Activities!$E28&lt;&gt;"",ISNUMBER(SEARCH(",12,",","&amp;Activities!$E28&amp;",")),AND(Activities!$C28&lt;=12,Activities!$D28&gt;=12))),IF(Activities!$H28="Coaches","🌱 ",IF(Activities!$H28="Coordinators","⚙️ ",IF(Activities!$H28="Both","👥 ","")))&amp;Activities!$B28&amp;CHAR(10)&amp;REPT("●",Activities!$F28),"")</f>
        <v/>
      </c>
    </row>
    <row r="29" spans="1:14" s="8" customFormat="1" ht="60">
      <c r="A29" s="14" t="str">
        <f>IF(Activities!$A29&lt;&gt;"",Activities!$A29,"")</f>
        <v>WBL Planning, Partnerships &amp; Career Exposure</v>
      </c>
      <c r="B29" s="7" t="str">
        <f>IF(Activities!$B29&lt;&gt;"",Activities!$B29,"")</f>
        <v>WBL connections for PBL and classroom learning</v>
      </c>
      <c r="C29" s="7" t="str">
        <f>IF(AND(Activities!$A29&lt;&gt;"",IF(Activities!$E29&lt;&gt;"",ISNUMBER(SEARCH(",1,",","&amp;Activities!$E29&amp;",")),AND(Activities!$C29&lt;=1,Activities!$D29&gt;=1))),IF(Activities!$H29="Coaches","🌱 ",IF(Activities!$H29="Coordinators","⚙️ ",IF(Activities!$H29="Both","👥 ","")))&amp;Activities!$B29&amp;CHAR(10)&amp;REPT("●",Activities!$F29),"")</f>
        <v/>
      </c>
      <c r="D29" s="7" t="str">
        <f>IF(AND(Activities!$A29&lt;&gt;"",IF(Activities!$E29&lt;&gt;"",ISNUMBER(SEARCH(",2,",","&amp;Activities!$E29&amp;",")),AND(Activities!$C29&lt;=2,Activities!$D29&gt;=2))),IF(Activities!$H29="Coaches","🌱 ",IF(Activities!$H29="Coordinators","⚙️ ",IF(Activities!$H29="Both","👥 ","")))&amp;Activities!$B29&amp;CHAR(10)&amp;REPT("●",Activities!$F29),"")</f>
        <v/>
      </c>
      <c r="E29" s="7" t="str">
        <f>IF(AND(Activities!$A29&lt;&gt;"",IF(Activities!$E29&lt;&gt;"",ISNUMBER(SEARCH(",3,",","&amp;Activities!$E29&amp;",")),AND(Activities!$C29&lt;=3,Activities!$D29&gt;=3))),IF(Activities!$H29="Coaches","🌱 ",IF(Activities!$H29="Coordinators","⚙️ ",IF(Activities!$H29="Both","👥 ","")))&amp;Activities!$B29&amp;CHAR(10)&amp;REPT("●",Activities!$F29),"")</f>
        <v>⚙️ WBL connections for PBL and classroom learning
●●</v>
      </c>
      <c r="F29" s="7" t="str">
        <f>IF(AND(Activities!$A29&lt;&gt;"",IF(Activities!$E29&lt;&gt;"",ISNUMBER(SEARCH(",4,",","&amp;Activities!$E29&amp;",")),AND(Activities!$C29&lt;=4,Activities!$D29&gt;=4))),IF(Activities!$H29="Coaches","🌱 ",IF(Activities!$H29="Coordinators","⚙️ ",IF(Activities!$H29="Both","👥 ","")))&amp;Activities!$B29&amp;CHAR(10)&amp;REPT("●",Activities!$F29),"")</f>
        <v>⚙️ WBL connections for PBL and classroom learning
●●</v>
      </c>
      <c r="G29" s="7" t="str">
        <f>IF(AND(Activities!$A29&lt;&gt;"",IF(Activities!$E29&lt;&gt;"",ISNUMBER(SEARCH(",5,",","&amp;Activities!$E29&amp;",")),AND(Activities!$C29&lt;=5,Activities!$D29&gt;=5))),IF(Activities!$H29="Coaches","🌱 ",IF(Activities!$H29="Coordinators","⚙️ ",IF(Activities!$H29="Both","👥 ","")))&amp;Activities!$B29&amp;CHAR(10)&amp;REPT("●",Activities!$F29),"")</f>
        <v>⚙️ WBL connections for PBL and classroom learning
●●</v>
      </c>
      <c r="H29" s="7" t="str">
        <f>IF(AND(Activities!$A29&lt;&gt;"",IF(Activities!$E29&lt;&gt;"",ISNUMBER(SEARCH(",6,",","&amp;Activities!$E29&amp;",")),AND(Activities!$C29&lt;=6,Activities!$D29&gt;=6))),IF(Activities!$H29="Coaches","🌱 ",IF(Activities!$H29="Coordinators","⚙️ ",IF(Activities!$H29="Both","👥 ","")))&amp;Activities!$B29&amp;CHAR(10)&amp;REPT("●",Activities!$F29),"")</f>
        <v>⚙️ WBL connections for PBL and classroom learning
●●</v>
      </c>
      <c r="I29" s="7" t="str">
        <f>IF(AND(Activities!$A29&lt;&gt;"",IF(Activities!$E29&lt;&gt;"",ISNUMBER(SEARCH(",7,",","&amp;Activities!$E29&amp;",")),AND(Activities!$C29&lt;=7,Activities!$D29&gt;=7))),IF(Activities!$H29="Coaches","🌱 ",IF(Activities!$H29="Coordinators","⚙️ ",IF(Activities!$H29="Both","👥 ","")))&amp;Activities!$B29&amp;CHAR(10)&amp;REPT("●",Activities!$F29),"")</f>
        <v>⚙️ WBL connections for PBL and classroom learning
●●</v>
      </c>
      <c r="J29" s="7" t="str">
        <f>IF(AND(Activities!$A29&lt;&gt;"",IF(Activities!$E29&lt;&gt;"",ISNUMBER(SEARCH(",8,",","&amp;Activities!$E29&amp;",")),AND(Activities!$C29&lt;=8,Activities!$D29&gt;=8))),IF(Activities!$H29="Coaches","🌱 ",IF(Activities!$H29="Coordinators","⚙️ ",IF(Activities!$H29="Both","👥 ","")))&amp;Activities!$B29&amp;CHAR(10)&amp;REPT("●",Activities!$F29),"")</f>
        <v>⚙️ WBL connections for PBL and classroom learning
●●</v>
      </c>
      <c r="K29" s="7" t="str">
        <f>IF(AND(Activities!$A29&lt;&gt;"",IF(Activities!$E29&lt;&gt;"",ISNUMBER(SEARCH(",9,",","&amp;Activities!$E29&amp;",")),AND(Activities!$C29&lt;=9,Activities!$D29&gt;=9))),IF(Activities!$H29="Coaches","🌱 ",IF(Activities!$H29="Coordinators","⚙️ ",IF(Activities!$H29="Both","👥 ","")))&amp;Activities!$B29&amp;CHAR(10)&amp;REPT("●",Activities!$F29),"")</f>
        <v>⚙️ WBL connections for PBL and classroom learning
●●</v>
      </c>
      <c r="L29" s="7" t="str">
        <f>IF(AND(Activities!$A29&lt;&gt;"",IF(Activities!$E29&lt;&gt;"",ISNUMBER(SEARCH(",10,",","&amp;Activities!$E29&amp;",")),AND(Activities!$C29&lt;=10,Activities!$D29&gt;=10))),IF(Activities!$H29="Coaches","🌱 ",IF(Activities!$H29="Coordinators","⚙️ ",IF(Activities!$H29="Both","👥 ","")))&amp;Activities!$B29&amp;CHAR(10)&amp;REPT("●",Activities!$F29),"")</f>
        <v>⚙️ WBL connections for PBL and classroom learning
●●</v>
      </c>
      <c r="M29" s="7" t="str">
        <f>IF(AND(Activities!$A29&lt;&gt;"",IF(Activities!$E29&lt;&gt;"",ISNUMBER(SEARCH(",11,",","&amp;Activities!$E29&amp;",")),AND(Activities!$C29&lt;=11,Activities!$D29&gt;=11))),IF(Activities!$H29="Coaches","🌱 ",IF(Activities!$H29="Coordinators","⚙️ ",IF(Activities!$H29="Both","👥 ","")))&amp;Activities!$B29&amp;CHAR(10)&amp;REPT("●",Activities!$F29),"")</f>
        <v>⚙️ WBL connections for PBL and classroom learning
●●</v>
      </c>
      <c r="N29" s="7" t="str">
        <f>IF(AND(Activities!$A29&lt;&gt;"",IF(Activities!$E29&lt;&gt;"",ISNUMBER(SEARCH(",12,",","&amp;Activities!$E29&amp;",")),AND(Activities!$C29&lt;=12,Activities!$D29&gt;=12))),IF(Activities!$H29="Coaches","🌱 ",IF(Activities!$H29="Coordinators","⚙️ ",IF(Activities!$H29="Both","👥 ","")))&amp;Activities!$B29&amp;CHAR(10)&amp;REPT("●",Activities!$F29),"")</f>
        <v/>
      </c>
    </row>
    <row r="30" spans="1:14" s="8" customFormat="1" ht="56">
      <c r="A30" s="14" t="str">
        <f>IF(Activities!$A30&lt;&gt;"",Activities!$A30,"")</f>
        <v>Internships &amp; Work Readiness</v>
      </c>
      <c r="B30" s="7" t="str">
        <f>IF(Activities!$B30&lt;&gt;"",Activities!$B30,"")</f>
        <v>School-site work readiness implementation support</v>
      </c>
      <c r="C30" s="7" t="str">
        <f>IF(AND(Activities!$A30&lt;&gt;"",IF(Activities!$E30&lt;&gt;"",ISNUMBER(SEARCH(",1,",","&amp;Activities!$E30&amp;",")),AND(Activities!$C30&lt;=1,Activities!$D30&gt;=1))),IF(Activities!$H30="Coaches","🌱 ",IF(Activities!$H30="Coordinators","⚙️ ",IF(Activities!$H30="Both","👥 ","")))&amp;Activities!$B30&amp;CHAR(10)&amp;REPT("●",Activities!$F30),"")</f>
        <v>⚙️ School-site work readiness implementation support
●●</v>
      </c>
      <c r="D30" s="7" t="str">
        <f>IF(AND(Activities!$A30&lt;&gt;"",IF(Activities!$E30&lt;&gt;"",ISNUMBER(SEARCH(",2,",","&amp;Activities!$E30&amp;",")),AND(Activities!$C30&lt;=2,Activities!$D30&gt;=2))),IF(Activities!$H30="Coaches","🌱 ",IF(Activities!$H30="Coordinators","⚙️ ",IF(Activities!$H30="Both","👥 ","")))&amp;Activities!$B30&amp;CHAR(10)&amp;REPT("●",Activities!$F30),"")</f>
        <v>⚙️ School-site work readiness implementation support
●●</v>
      </c>
      <c r="E30" s="7" t="str">
        <f>IF(AND(Activities!$A30&lt;&gt;"",IF(Activities!$E30&lt;&gt;"",ISNUMBER(SEARCH(",3,",","&amp;Activities!$E30&amp;",")),AND(Activities!$C30&lt;=3,Activities!$D30&gt;=3))),IF(Activities!$H30="Coaches","🌱 ",IF(Activities!$H30="Coordinators","⚙️ ",IF(Activities!$H30="Both","👥 ","")))&amp;Activities!$B30&amp;CHAR(10)&amp;REPT("●",Activities!$F30),"")</f>
        <v>⚙️ School-site work readiness implementation support
●●</v>
      </c>
      <c r="F30" s="7" t="str">
        <f>IF(AND(Activities!$A30&lt;&gt;"",IF(Activities!$E30&lt;&gt;"",ISNUMBER(SEARCH(",4,",","&amp;Activities!$E30&amp;",")),AND(Activities!$C30&lt;=4,Activities!$D30&gt;=4))),IF(Activities!$H30="Coaches","🌱 ",IF(Activities!$H30="Coordinators","⚙️ ",IF(Activities!$H30="Both","👥 ","")))&amp;Activities!$B30&amp;CHAR(10)&amp;REPT("●",Activities!$F30),"")</f>
        <v>⚙️ School-site work readiness implementation support
●●</v>
      </c>
      <c r="G30" s="7" t="str">
        <f>IF(AND(Activities!$A30&lt;&gt;"",IF(Activities!$E30&lt;&gt;"",ISNUMBER(SEARCH(",5,",","&amp;Activities!$E30&amp;",")),AND(Activities!$C30&lt;=5,Activities!$D30&gt;=5))),IF(Activities!$H30="Coaches","🌱 ",IF(Activities!$H30="Coordinators","⚙️ ",IF(Activities!$H30="Both","👥 ","")))&amp;Activities!$B30&amp;CHAR(10)&amp;REPT("●",Activities!$F30),"")</f>
        <v>⚙️ School-site work readiness implementation support
●●</v>
      </c>
      <c r="H30" s="7" t="str">
        <f>IF(AND(Activities!$A30&lt;&gt;"",IF(Activities!$E30&lt;&gt;"",ISNUMBER(SEARCH(",6,",","&amp;Activities!$E30&amp;",")),AND(Activities!$C30&lt;=6,Activities!$D30&gt;=6))),IF(Activities!$H30="Coaches","🌱 ",IF(Activities!$H30="Coordinators","⚙️ ",IF(Activities!$H30="Both","👥 ","")))&amp;Activities!$B30&amp;CHAR(10)&amp;REPT("●",Activities!$F30),"")</f>
        <v>⚙️ School-site work readiness implementation support
●●</v>
      </c>
      <c r="I30" s="7" t="str">
        <f>IF(AND(Activities!$A30&lt;&gt;"",IF(Activities!$E30&lt;&gt;"",ISNUMBER(SEARCH(",7,",","&amp;Activities!$E30&amp;",")),AND(Activities!$C30&lt;=7,Activities!$D30&gt;=7))),IF(Activities!$H30="Coaches","🌱 ",IF(Activities!$H30="Coordinators","⚙️ ",IF(Activities!$H30="Both","👥 ","")))&amp;Activities!$B30&amp;CHAR(10)&amp;REPT("●",Activities!$F30),"")</f>
        <v>⚙️ School-site work readiness implementation support
●●</v>
      </c>
      <c r="J30" s="7" t="str">
        <f>IF(AND(Activities!$A30&lt;&gt;"",IF(Activities!$E30&lt;&gt;"",ISNUMBER(SEARCH(",8,",","&amp;Activities!$E30&amp;",")),AND(Activities!$C30&lt;=8,Activities!$D30&gt;=8))),IF(Activities!$H30="Coaches","🌱 ",IF(Activities!$H30="Coordinators","⚙️ ",IF(Activities!$H30="Both","👥 ","")))&amp;Activities!$B30&amp;CHAR(10)&amp;REPT("●",Activities!$F30),"")</f>
        <v>⚙️ School-site work readiness implementation support
●●</v>
      </c>
      <c r="K30" s="7" t="str">
        <f>IF(AND(Activities!$A30&lt;&gt;"",IF(Activities!$E30&lt;&gt;"",ISNUMBER(SEARCH(",9,",","&amp;Activities!$E30&amp;",")),AND(Activities!$C30&lt;=9,Activities!$D30&gt;=9))),IF(Activities!$H30="Coaches","🌱 ",IF(Activities!$H30="Coordinators","⚙️ ",IF(Activities!$H30="Both","👥 ","")))&amp;Activities!$B30&amp;CHAR(10)&amp;REPT("●",Activities!$F30),"")</f>
        <v>⚙️ School-site work readiness implementation support
●●</v>
      </c>
      <c r="L30" s="7" t="str">
        <f>IF(AND(Activities!$A30&lt;&gt;"",IF(Activities!$E30&lt;&gt;"",ISNUMBER(SEARCH(",10,",","&amp;Activities!$E30&amp;",")),AND(Activities!$C30&lt;=10,Activities!$D30&gt;=10))),IF(Activities!$H30="Coaches","🌱 ",IF(Activities!$H30="Coordinators","⚙️ ",IF(Activities!$H30="Both","👥 ","")))&amp;Activities!$B30&amp;CHAR(10)&amp;REPT("●",Activities!$F30),"")</f>
        <v>⚙️ School-site work readiness implementation support
●●</v>
      </c>
      <c r="M30" s="7" t="str">
        <f>IF(AND(Activities!$A30&lt;&gt;"",IF(Activities!$E30&lt;&gt;"",ISNUMBER(SEARCH(",11,",","&amp;Activities!$E30&amp;",")),AND(Activities!$C30&lt;=11,Activities!$D30&gt;=11))),IF(Activities!$H30="Coaches","🌱 ",IF(Activities!$H30="Coordinators","⚙️ ",IF(Activities!$H30="Both","👥 ","")))&amp;Activities!$B30&amp;CHAR(10)&amp;REPT("●",Activities!$F30),"")</f>
        <v>⚙️ School-site work readiness implementation support
●●</v>
      </c>
      <c r="N30" s="7" t="str">
        <f>IF(AND(Activities!$A30&lt;&gt;"",IF(Activities!$E30&lt;&gt;"",ISNUMBER(SEARCH(",12,",","&amp;Activities!$E30&amp;",")),AND(Activities!$C30&lt;=12,Activities!$D30&gt;=12))),IF(Activities!$H30="Coaches","🌱 ",IF(Activities!$H30="Coordinators","⚙️ ",IF(Activities!$H30="Both","👥 ","")))&amp;Activities!$B30&amp;CHAR(10)&amp;REPT("●",Activities!$F30),"")</f>
        <v>⚙️ School-site work readiness implementation support
●●</v>
      </c>
    </row>
    <row r="31" spans="1:14" s="8" customFormat="1" ht="42">
      <c r="A31" s="14" t="str">
        <f>IF(Activities!$A31&lt;&gt;"",Activities!$A31,"")</f>
        <v>Internships &amp; Work Readiness</v>
      </c>
      <c r="B31" s="7" t="str">
        <f>IF(Activities!$B31&lt;&gt;"",Activities!$B31,"")</f>
        <v>Work readiness PD, workshops &amp; orientations</v>
      </c>
      <c r="C31" s="7" t="str">
        <f>IF(AND(Activities!$A31&lt;&gt;"",IF(Activities!$E31&lt;&gt;"",ISNUMBER(SEARCH(",1,",","&amp;Activities!$E31&amp;",")),AND(Activities!$C31&lt;=1,Activities!$D31&gt;=1))),IF(Activities!$H31="Coaches","🌱 ",IF(Activities!$H31="Coordinators","⚙️ ",IF(Activities!$H31="Both","👥 ","")))&amp;Activities!$B31&amp;CHAR(10)&amp;REPT("●",Activities!$F31),"")</f>
        <v/>
      </c>
      <c r="D31" s="7" t="str">
        <f>IF(AND(Activities!$A31&lt;&gt;"",IF(Activities!$E31&lt;&gt;"",ISNUMBER(SEARCH(",2,",","&amp;Activities!$E31&amp;",")),AND(Activities!$C31&lt;=2,Activities!$D31&gt;=2))),IF(Activities!$H31="Coaches","🌱 ",IF(Activities!$H31="Coordinators","⚙️ ",IF(Activities!$H31="Both","👥 ","")))&amp;Activities!$B31&amp;CHAR(10)&amp;REPT("●",Activities!$F31),"")</f>
        <v/>
      </c>
      <c r="E31" s="7" t="str">
        <f>IF(AND(Activities!$A31&lt;&gt;"",IF(Activities!$E31&lt;&gt;"",ISNUMBER(SEARCH(",3,",","&amp;Activities!$E31&amp;",")),AND(Activities!$C31&lt;=3,Activities!$D31&gt;=3))),IF(Activities!$H31="Coaches","🌱 ",IF(Activities!$H31="Coordinators","⚙️ ",IF(Activities!$H31="Both","👥 ","")))&amp;Activities!$B31&amp;CHAR(10)&amp;REPT("●",Activities!$F31),"")</f>
        <v>⚙️ Work readiness PD, workshops &amp; orientations
●●</v>
      </c>
      <c r="F31" s="7" t="str">
        <f>IF(AND(Activities!$A31&lt;&gt;"",IF(Activities!$E31&lt;&gt;"",ISNUMBER(SEARCH(",4,",","&amp;Activities!$E31&amp;",")),AND(Activities!$C31&lt;=4,Activities!$D31&gt;=4))),IF(Activities!$H31="Coaches","🌱 ",IF(Activities!$H31="Coordinators","⚙️ ",IF(Activities!$H31="Both","👥 ","")))&amp;Activities!$B31&amp;CHAR(10)&amp;REPT("●",Activities!$F31),"")</f>
        <v>⚙️ Work readiness PD, workshops &amp; orientations
●●</v>
      </c>
      <c r="G31" s="7" t="str">
        <f>IF(AND(Activities!$A31&lt;&gt;"",IF(Activities!$E31&lt;&gt;"",ISNUMBER(SEARCH(",5,",","&amp;Activities!$E31&amp;",")),AND(Activities!$C31&lt;=5,Activities!$D31&gt;=5))),IF(Activities!$H31="Coaches","🌱 ",IF(Activities!$H31="Coordinators","⚙️ ",IF(Activities!$H31="Both","👥 ","")))&amp;Activities!$B31&amp;CHAR(10)&amp;REPT("●",Activities!$F31),"")</f>
        <v>⚙️ Work readiness PD, workshops &amp; orientations
●●</v>
      </c>
      <c r="H31" s="7" t="str">
        <f>IF(AND(Activities!$A31&lt;&gt;"",IF(Activities!$E31&lt;&gt;"",ISNUMBER(SEARCH(",6,",","&amp;Activities!$E31&amp;",")),AND(Activities!$C31&lt;=6,Activities!$D31&gt;=6))),IF(Activities!$H31="Coaches","🌱 ",IF(Activities!$H31="Coordinators","⚙️ ",IF(Activities!$H31="Both","👥 ","")))&amp;Activities!$B31&amp;CHAR(10)&amp;REPT("●",Activities!$F31),"")</f>
        <v/>
      </c>
      <c r="I31" s="7" t="str">
        <f>IF(AND(Activities!$A31&lt;&gt;"",IF(Activities!$E31&lt;&gt;"",ISNUMBER(SEARCH(",7,",","&amp;Activities!$E31&amp;",")),AND(Activities!$C31&lt;=7,Activities!$D31&gt;=7))),IF(Activities!$H31="Coaches","🌱 ",IF(Activities!$H31="Coordinators","⚙️ ",IF(Activities!$H31="Both","👥 ","")))&amp;Activities!$B31&amp;CHAR(10)&amp;REPT("●",Activities!$F31),"")</f>
        <v/>
      </c>
      <c r="J31" s="7" t="str">
        <f>IF(AND(Activities!$A31&lt;&gt;"",IF(Activities!$E31&lt;&gt;"",ISNUMBER(SEARCH(",8,",","&amp;Activities!$E31&amp;",")),AND(Activities!$C31&lt;=8,Activities!$D31&gt;=8))),IF(Activities!$H31="Coaches","🌱 ",IF(Activities!$H31="Coordinators","⚙️ ",IF(Activities!$H31="Both","👥 ","")))&amp;Activities!$B31&amp;CHAR(10)&amp;REPT("●",Activities!$F31),"")</f>
        <v/>
      </c>
      <c r="K31" s="7" t="str">
        <f>IF(AND(Activities!$A31&lt;&gt;"",IF(Activities!$E31&lt;&gt;"",ISNUMBER(SEARCH(",9,",","&amp;Activities!$E31&amp;",")),AND(Activities!$C31&lt;=9,Activities!$D31&gt;=9))),IF(Activities!$H31="Coaches","🌱 ",IF(Activities!$H31="Coordinators","⚙️ ",IF(Activities!$H31="Both","👥 ","")))&amp;Activities!$B31&amp;CHAR(10)&amp;REPT("●",Activities!$F31),"")</f>
        <v/>
      </c>
      <c r="L31" s="7" t="str">
        <f>IF(AND(Activities!$A31&lt;&gt;"",IF(Activities!$E31&lt;&gt;"",ISNUMBER(SEARCH(",10,",","&amp;Activities!$E31&amp;",")),AND(Activities!$C31&lt;=10,Activities!$D31&gt;=10))),IF(Activities!$H31="Coaches","🌱 ",IF(Activities!$H31="Coordinators","⚙️ ",IF(Activities!$H31="Both","👥 ","")))&amp;Activities!$B31&amp;CHAR(10)&amp;REPT("●",Activities!$F31),"")</f>
        <v/>
      </c>
      <c r="M31" s="7" t="str">
        <f>IF(AND(Activities!$A31&lt;&gt;"",IF(Activities!$E31&lt;&gt;"",ISNUMBER(SEARCH(",11,",","&amp;Activities!$E31&amp;",")),AND(Activities!$C31&lt;=11,Activities!$D31&gt;=11))),IF(Activities!$H31="Coaches","🌱 ",IF(Activities!$H31="Coordinators","⚙️ ",IF(Activities!$H31="Both","👥 ","")))&amp;Activities!$B31&amp;CHAR(10)&amp;REPT("●",Activities!$F31),"")</f>
        <v/>
      </c>
      <c r="N31" s="7" t="str">
        <f>IF(AND(Activities!$A31&lt;&gt;"",IF(Activities!$E31&lt;&gt;"",ISNUMBER(SEARCH(",12,",","&amp;Activities!$E31&amp;",")),AND(Activities!$C31&lt;=12,Activities!$D31&gt;=12))),IF(Activities!$H31="Coaches","🌱 ",IF(Activities!$H31="Coordinators","⚙️ ",IF(Activities!$H31="Both","👥 ","")))&amp;Activities!$B31&amp;CHAR(10)&amp;REPT("●",Activities!$F31),"")</f>
        <v/>
      </c>
    </row>
    <row r="32" spans="1:14" s="8" customFormat="1" ht="56">
      <c r="A32" s="14" t="str">
        <f>IF(Activities!$A32&lt;&gt;"",Activities!$A32,"")</f>
        <v>Internships &amp; Work Readiness</v>
      </c>
      <c r="B32" s="7" t="str">
        <f>IF(Activities!$B32&lt;&gt;"",Activities!$B32,"")</f>
        <v>Student outreach, recruitment, applications, matching &amp; placement</v>
      </c>
      <c r="C32" s="7" t="str">
        <f>IF(AND(Activities!$A32&lt;&gt;"",IF(Activities!$E32&lt;&gt;"",ISNUMBER(SEARCH(",1,",","&amp;Activities!$E32&amp;",")),AND(Activities!$C32&lt;=1,Activities!$D32&gt;=1))),IF(Activities!$H32="Coaches","🌱 ",IF(Activities!$H32="Coordinators","⚙️ ",IF(Activities!$H32="Both","👥 ","")))&amp;Activities!$B32&amp;CHAR(10)&amp;REPT("●",Activities!$F32),"")</f>
        <v/>
      </c>
      <c r="D32" s="7" t="str">
        <f>IF(AND(Activities!$A32&lt;&gt;"",IF(Activities!$E32&lt;&gt;"",ISNUMBER(SEARCH(",2,",","&amp;Activities!$E32&amp;",")),AND(Activities!$C32&lt;=2,Activities!$D32&gt;=2))),IF(Activities!$H32="Coaches","🌱 ",IF(Activities!$H32="Coordinators","⚙️ ",IF(Activities!$H32="Both","👥 ","")))&amp;Activities!$B32&amp;CHAR(10)&amp;REPT("●",Activities!$F32),"")</f>
        <v/>
      </c>
      <c r="E32" s="7" t="str">
        <f>IF(AND(Activities!$A32&lt;&gt;"",IF(Activities!$E32&lt;&gt;"",ISNUMBER(SEARCH(",3,",","&amp;Activities!$E32&amp;",")),AND(Activities!$C32&lt;=3,Activities!$D32&gt;=3))),IF(Activities!$H32="Coaches","🌱 ",IF(Activities!$H32="Coordinators","⚙️ ",IF(Activities!$H32="Both","👥 ","")))&amp;Activities!$B32&amp;CHAR(10)&amp;REPT("●",Activities!$F32),"")</f>
        <v>⚙️ Student outreach, recruitment, applications, matching &amp; placement
●●●</v>
      </c>
      <c r="F32" s="7" t="str">
        <f>IF(AND(Activities!$A32&lt;&gt;"",IF(Activities!$E32&lt;&gt;"",ISNUMBER(SEARCH(",4,",","&amp;Activities!$E32&amp;",")),AND(Activities!$C32&lt;=4,Activities!$D32&gt;=4))),IF(Activities!$H32="Coaches","🌱 ",IF(Activities!$H32="Coordinators","⚙️ ",IF(Activities!$H32="Both","👥 ","")))&amp;Activities!$B32&amp;CHAR(10)&amp;REPT("●",Activities!$F32),"")</f>
        <v>⚙️ Student outreach, recruitment, applications, matching &amp; placement
●●●</v>
      </c>
      <c r="G32" s="7" t="str">
        <f>IF(AND(Activities!$A32&lt;&gt;"",IF(Activities!$E32&lt;&gt;"",ISNUMBER(SEARCH(",5,",","&amp;Activities!$E32&amp;",")),AND(Activities!$C32&lt;=5,Activities!$D32&gt;=5))),IF(Activities!$H32="Coaches","🌱 ",IF(Activities!$H32="Coordinators","⚙️ ",IF(Activities!$H32="Both","👥 ","")))&amp;Activities!$B32&amp;CHAR(10)&amp;REPT("●",Activities!$F32),"")</f>
        <v>⚙️ Student outreach, recruitment, applications, matching &amp; placement
●●●</v>
      </c>
      <c r="H32" s="7" t="str">
        <f>IF(AND(Activities!$A32&lt;&gt;"",IF(Activities!$E32&lt;&gt;"",ISNUMBER(SEARCH(",6,",","&amp;Activities!$E32&amp;",")),AND(Activities!$C32&lt;=6,Activities!$D32&gt;=6))),IF(Activities!$H32="Coaches","🌱 ",IF(Activities!$H32="Coordinators","⚙️ ",IF(Activities!$H32="Both","👥 ","")))&amp;Activities!$B32&amp;CHAR(10)&amp;REPT("●",Activities!$F32),"")</f>
        <v>⚙️ Student outreach, recruitment, applications, matching &amp; placement
●●●</v>
      </c>
      <c r="I32" s="7" t="str">
        <f>IF(AND(Activities!$A32&lt;&gt;"",IF(Activities!$E32&lt;&gt;"",ISNUMBER(SEARCH(",7,",","&amp;Activities!$E32&amp;",")),AND(Activities!$C32&lt;=7,Activities!$D32&gt;=7))),IF(Activities!$H32="Coaches","🌱 ",IF(Activities!$H32="Coordinators","⚙️ ",IF(Activities!$H32="Both","👥 ","")))&amp;Activities!$B32&amp;CHAR(10)&amp;REPT("●",Activities!$F32),"")</f>
        <v>⚙️ Student outreach, recruitment, applications, matching &amp; placement
●●●</v>
      </c>
      <c r="J32" s="7" t="str">
        <f>IF(AND(Activities!$A32&lt;&gt;"",IF(Activities!$E32&lt;&gt;"",ISNUMBER(SEARCH(",8,",","&amp;Activities!$E32&amp;",")),AND(Activities!$C32&lt;=8,Activities!$D32&gt;=8))),IF(Activities!$H32="Coaches","🌱 ",IF(Activities!$H32="Coordinators","⚙️ ",IF(Activities!$H32="Both","👥 ","")))&amp;Activities!$B32&amp;CHAR(10)&amp;REPT("●",Activities!$F32),"")</f>
        <v>⚙️ Student outreach, recruitment, applications, matching &amp; placement
●●●</v>
      </c>
      <c r="K32" s="7" t="str">
        <f>IF(AND(Activities!$A32&lt;&gt;"",IF(Activities!$E32&lt;&gt;"",ISNUMBER(SEARCH(",9,",","&amp;Activities!$E32&amp;",")),AND(Activities!$C32&lt;=9,Activities!$D32&gt;=9))),IF(Activities!$H32="Coaches","🌱 ",IF(Activities!$H32="Coordinators","⚙️ ",IF(Activities!$H32="Both","👥 ","")))&amp;Activities!$B32&amp;CHAR(10)&amp;REPT("●",Activities!$F32),"")</f>
        <v>⚙️ Student outreach, recruitment, applications, matching &amp; placement
●●●</v>
      </c>
      <c r="L32" s="7" t="str">
        <f>IF(AND(Activities!$A32&lt;&gt;"",IF(Activities!$E32&lt;&gt;"",ISNUMBER(SEARCH(",10,",","&amp;Activities!$E32&amp;",")),AND(Activities!$C32&lt;=10,Activities!$D32&gt;=10))),IF(Activities!$H32="Coaches","🌱 ",IF(Activities!$H32="Coordinators","⚙️ ",IF(Activities!$H32="Both","👥 ","")))&amp;Activities!$B32&amp;CHAR(10)&amp;REPT("●",Activities!$F32),"")</f>
        <v/>
      </c>
      <c r="M32" s="7" t="str">
        <f>IF(AND(Activities!$A32&lt;&gt;"",IF(Activities!$E32&lt;&gt;"",ISNUMBER(SEARCH(",11,",","&amp;Activities!$E32&amp;",")),AND(Activities!$C32&lt;=11,Activities!$D32&gt;=11))),IF(Activities!$H32="Coaches","🌱 ",IF(Activities!$H32="Coordinators","⚙️ ",IF(Activities!$H32="Both","👥 ","")))&amp;Activities!$B32&amp;CHAR(10)&amp;REPT("●",Activities!$F32),"")</f>
        <v/>
      </c>
      <c r="N32" s="7" t="str">
        <f>IF(AND(Activities!$A32&lt;&gt;"",IF(Activities!$E32&lt;&gt;"",ISNUMBER(SEARCH(",12,",","&amp;Activities!$E32&amp;",")),AND(Activities!$C32&lt;=12,Activities!$D32&gt;=12))),IF(Activities!$H32="Coaches","🌱 ",IF(Activities!$H32="Coordinators","⚙️ ",IF(Activities!$H32="Both","👥 ","")))&amp;Activities!$B32&amp;CHAR(10)&amp;REPT("●",Activities!$F32),"")</f>
        <v/>
      </c>
    </row>
    <row r="33" spans="1:14" s="8" customFormat="1" ht="56">
      <c r="A33" s="14" t="str">
        <f>IF(Activities!$A33&lt;&gt;"",Activities!$A33,"")</f>
        <v>Internships &amp; Work Readiness</v>
      </c>
      <c r="B33" s="7" t="str">
        <f>IF(Activities!$B33&lt;&gt;"",Activities!$B33,"")</f>
        <v>Intern and worksite supervisor training/onboarding</v>
      </c>
      <c r="C33" s="7" t="str">
        <f>IF(AND(Activities!$A33&lt;&gt;"",IF(Activities!$E33&lt;&gt;"",ISNUMBER(SEARCH(",1,",","&amp;Activities!$E33&amp;",")),AND(Activities!$C33&lt;=1,Activities!$D33&gt;=1))),IF(Activities!$H33="Coaches","🌱 ",IF(Activities!$H33="Coordinators","⚙️ ",IF(Activities!$H33="Both","👥 ","")))&amp;Activities!$B33&amp;CHAR(10)&amp;REPT("●",Activities!$F33),"")</f>
        <v/>
      </c>
      <c r="D33" s="7" t="str">
        <f>IF(AND(Activities!$A33&lt;&gt;"",IF(Activities!$E33&lt;&gt;"",ISNUMBER(SEARCH(",2,",","&amp;Activities!$E33&amp;",")),AND(Activities!$C33&lt;=2,Activities!$D33&gt;=2))),IF(Activities!$H33="Coaches","🌱 ",IF(Activities!$H33="Coordinators","⚙️ ",IF(Activities!$H33="Both","👥 ","")))&amp;Activities!$B33&amp;CHAR(10)&amp;REPT("●",Activities!$F33),"")</f>
        <v/>
      </c>
      <c r="E33" s="7" t="str">
        <f>IF(AND(Activities!$A33&lt;&gt;"",IF(Activities!$E33&lt;&gt;"",ISNUMBER(SEARCH(",3,",","&amp;Activities!$E33&amp;",")),AND(Activities!$C33&lt;=3,Activities!$D33&gt;=3))),IF(Activities!$H33="Coaches","🌱 ",IF(Activities!$H33="Coordinators","⚙️ ",IF(Activities!$H33="Both","👥 ","")))&amp;Activities!$B33&amp;CHAR(10)&amp;REPT("●",Activities!$F33),"")</f>
        <v>⚙️ Intern and worksite supervisor training/onboarding
●●</v>
      </c>
      <c r="F33" s="7" t="str">
        <f>IF(AND(Activities!$A33&lt;&gt;"",IF(Activities!$E33&lt;&gt;"",ISNUMBER(SEARCH(",4,",","&amp;Activities!$E33&amp;",")),AND(Activities!$C33&lt;=4,Activities!$D33&gt;=4))),IF(Activities!$H33="Coaches","🌱 ",IF(Activities!$H33="Coordinators","⚙️ ",IF(Activities!$H33="Both","👥 ","")))&amp;Activities!$B33&amp;CHAR(10)&amp;REPT("●",Activities!$F33),"")</f>
        <v>⚙️ Intern and worksite supervisor training/onboarding
●●</v>
      </c>
      <c r="G33" s="7" t="str">
        <f>IF(AND(Activities!$A33&lt;&gt;"",IF(Activities!$E33&lt;&gt;"",ISNUMBER(SEARCH(",5,",","&amp;Activities!$E33&amp;",")),AND(Activities!$C33&lt;=5,Activities!$D33&gt;=5))),IF(Activities!$H33="Coaches","🌱 ",IF(Activities!$H33="Coordinators","⚙️ ",IF(Activities!$H33="Both","👥 ","")))&amp;Activities!$B33&amp;CHAR(10)&amp;REPT("●",Activities!$F33),"")</f>
        <v>⚙️ Intern and worksite supervisor training/onboarding
●●</v>
      </c>
      <c r="H33" s="7" t="str">
        <f>IF(AND(Activities!$A33&lt;&gt;"",IF(Activities!$E33&lt;&gt;"",ISNUMBER(SEARCH(",6,",","&amp;Activities!$E33&amp;",")),AND(Activities!$C33&lt;=6,Activities!$D33&gt;=6))),IF(Activities!$H33="Coaches","🌱 ",IF(Activities!$H33="Coordinators","⚙️ ",IF(Activities!$H33="Both","👥 ","")))&amp;Activities!$B33&amp;CHAR(10)&amp;REPT("●",Activities!$F33),"")</f>
        <v>⚙️ Intern and worksite supervisor training/onboarding
●●</v>
      </c>
      <c r="I33" s="7" t="str">
        <f>IF(AND(Activities!$A33&lt;&gt;"",IF(Activities!$E33&lt;&gt;"",ISNUMBER(SEARCH(",7,",","&amp;Activities!$E33&amp;",")),AND(Activities!$C33&lt;=7,Activities!$D33&gt;=7))),IF(Activities!$H33="Coaches","🌱 ",IF(Activities!$H33="Coordinators","⚙️ ",IF(Activities!$H33="Both","👥 ","")))&amp;Activities!$B33&amp;CHAR(10)&amp;REPT("●",Activities!$F33),"")</f>
        <v>⚙️ Intern and worksite supervisor training/onboarding
●●</v>
      </c>
      <c r="J33" s="7" t="str">
        <f>IF(AND(Activities!$A33&lt;&gt;"",IF(Activities!$E33&lt;&gt;"",ISNUMBER(SEARCH(",8,",","&amp;Activities!$E33&amp;",")),AND(Activities!$C33&lt;=8,Activities!$D33&gt;=8))),IF(Activities!$H33="Coaches","🌱 ",IF(Activities!$H33="Coordinators","⚙️ ",IF(Activities!$H33="Both","👥 ","")))&amp;Activities!$B33&amp;CHAR(10)&amp;REPT("●",Activities!$F33),"")</f>
        <v>⚙️ Intern and worksite supervisor training/onboarding
●●</v>
      </c>
      <c r="K33" s="7" t="str">
        <f>IF(AND(Activities!$A33&lt;&gt;"",IF(Activities!$E33&lt;&gt;"",ISNUMBER(SEARCH(",9,",","&amp;Activities!$E33&amp;",")),AND(Activities!$C33&lt;=9,Activities!$D33&gt;=9))),IF(Activities!$H33="Coaches","🌱 ",IF(Activities!$H33="Coordinators","⚙️ ",IF(Activities!$H33="Both","👥 ","")))&amp;Activities!$B33&amp;CHAR(10)&amp;REPT("●",Activities!$F33),"")</f>
        <v>⚙️ Intern and worksite supervisor training/onboarding
●●</v>
      </c>
      <c r="L33" s="7" t="str">
        <f>IF(AND(Activities!$A33&lt;&gt;"",IF(Activities!$E33&lt;&gt;"",ISNUMBER(SEARCH(",10,",","&amp;Activities!$E33&amp;",")),AND(Activities!$C33&lt;=10,Activities!$D33&gt;=10))),IF(Activities!$H33="Coaches","🌱 ",IF(Activities!$H33="Coordinators","⚙️ ",IF(Activities!$H33="Both","👥 ","")))&amp;Activities!$B33&amp;CHAR(10)&amp;REPT("●",Activities!$F33),"")</f>
        <v>⚙️ Intern and worksite supervisor training/onboarding
●●</v>
      </c>
      <c r="M33" s="7" t="str">
        <f>IF(AND(Activities!$A33&lt;&gt;"",IF(Activities!$E33&lt;&gt;"",ISNUMBER(SEARCH(",11,",","&amp;Activities!$E33&amp;",")),AND(Activities!$C33&lt;=11,Activities!$D33&gt;=11))),IF(Activities!$H33="Coaches","🌱 ",IF(Activities!$H33="Coordinators","⚙️ ",IF(Activities!$H33="Both","👥 ","")))&amp;Activities!$B33&amp;CHAR(10)&amp;REPT("●",Activities!$F33),"")</f>
        <v/>
      </c>
      <c r="N33" s="7" t="str">
        <f>IF(AND(Activities!$A33&lt;&gt;"",IF(Activities!$E33&lt;&gt;"",ISNUMBER(SEARCH(",12,",","&amp;Activities!$E33&amp;",")),AND(Activities!$C33&lt;=12,Activities!$D33&gt;=12))),IF(Activities!$H33="Coaches","🌱 ",IF(Activities!$H33="Coordinators","⚙️ ",IF(Activities!$H33="Both","👥 ","")))&amp;Activities!$B33&amp;CHAR(10)&amp;REPT("●",Activities!$F33),"")</f>
        <v/>
      </c>
    </row>
    <row r="34" spans="1:14" s="8" customFormat="1" ht="70">
      <c r="A34" s="14" t="str">
        <f>IF(Activities!$A34&lt;&gt;"",Activities!$A34,"")</f>
        <v>Internships &amp; Work Readiness</v>
      </c>
      <c r="B34" s="7" t="str">
        <f>IF(Activities!$B34&lt;&gt;"",Activities!$B34,"")</f>
        <v>Internship administration: timesheets, check-ins &amp; ongoing support</v>
      </c>
      <c r="C34" s="7" t="str">
        <f>IF(AND(Activities!$A34&lt;&gt;"",IF(Activities!$E34&lt;&gt;"",ISNUMBER(SEARCH(",1,",","&amp;Activities!$E34&amp;",")),AND(Activities!$C34&lt;=1,Activities!$D34&gt;=1))),IF(Activities!$H34="Coaches","🌱 ",IF(Activities!$H34="Coordinators","⚙️ ",IF(Activities!$H34="Both","👥 ","")))&amp;Activities!$B34&amp;CHAR(10)&amp;REPT("●",Activities!$F34),"")</f>
        <v/>
      </c>
      <c r="D34" s="7" t="str">
        <f>IF(AND(Activities!$A34&lt;&gt;"",IF(Activities!$E34&lt;&gt;"",ISNUMBER(SEARCH(",2,",","&amp;Activities!$E34&amp;",")),AND(Activities!$C34&lt;=2,Activities!$D34&gt;=2))),IF(Activities!$H34="Coaches","🌱 ",IF(Activities!$H34="Coordinators","⚙️ ",IF(Activities!$H34="Both","👥 ","")))&amp;Activities!$B34&amp;CHAR(10)&amp;REPT("●",Activities!$F34),"")</f>
        <v/>
      </c>
      <c r="E34" s="7" t="str">
        <f>IF(AND(Activities!$A34&lt;&gt;"",IF(Activities!$E34&lt;&gt;"",ISNUMBER(SEARCH(",3,",","&amp;Activities!$E34&amp;",")),AND(Activities!$C34&lt;=3,Activities!$D34&gt;=3))),IF(Activities!$H34="Coaches","🌱 ",IF(Activities!$H34="Coordinators","⚙️ ",IF(Activities!$H34="Both","👥 ","")))&amp;Activities!$B34&amp;CHAR(10)&amp;REPT("●",Activities!$F34),"")</f>
        <v>⚙️ Internship administration: timesheets, check-ins &amp; ongoing support
●●●</v>
      </c>
      <c r="F34" s="7" t="str">
        <f>IF(AND(Activities!$A34&lt;&gt;"",IF(Activities!$E34&lt;&gt;"",ISNUMBER(SEARCH(",4,",","&amp;Activities!$E34&amp;",")),AND(Activities!$C34&lt;=4,Activities!$D34&gt;=4))),IF(Activities!$H34="Coaches","🌱 ",IF(Activities!$H34="Coordinators","⚙️ ",IF(Activities!$H34="Both","👥 ","")))&amp;Activities!$B34&amp;CHAR(10)&amp;REPT("●",Activities!$F34),"")</f>
        <v>⚙️ Internship administration: timesheets, check-ins &amp; ongoing support
●●●</v>
      </c>
      <c r="G34" s="7" t="str">
        <f>IF(AND(Activities!$A34&lt;&gt;"",IF(Activities!$E34&lt;&gt;"",ISNUMBER(SEARCH(",5,",","&amp;Activities!$E34&amp;",")),AND(Activities!$C34&lt;=5,Activities!$D34&gt;=5))),IF(Activities!$H34="Coaches","🌱 ",IF(Activities!$H34="Coordinators","⚙️ ",IF(Activities!$H34="Both","👥 ","")))&amp;Activities!$B34&amp;CHAR(10)&amp;REPT("●",Activities!$F34),"")</f>
        <v>⚙️ Internship administration: timesheets, check-ins &amp; ongoing support
●●●</v>
      </c>
      <c r="H34" s="7" t="str">
        <f>IF(AND(Activities!$A34&lt;&gt;"",IF(Activities!$E34&lt;&gt;"",ISNUMBER(SEARCH(",6,",","&amp;Activities!$E34&amp;",")),AND(Activities!$C34&lt;=6,Activities!$D34&gt;=6))),IF(Activities!$H34="Coaches","🌱 ",IF(Activities!$H34="Coordinators","⚙️ ",IF(Activities!$H34="Both","👥 ","")))&amp;Activities!$B34&amp;CHAR(10)&amp;REPT("●",Activities!$F34),"")</f>
        <v>⚙️ Internship administration: timesheets, check-ins &amp; ongoing support
●●●</v>
      </c>
      <c r="I34" s="7" t="str">
        <f>IF(AND(Activities!$A34&lt;&gt;"",IF(Activities!$E34&lt;&gt;"",ISNUMBER(SEARCH(",7,",","&amp;Activities!$E34&amp;",")),AND(Activities!$C34&lt;=7,Activities!$D34&gt;=7))),IF(Activities!$H34="Coaches","🌱 ",IF(Activities!$H34="Coordinators","⚙️ ",IF(Activities!$H34="Both","👥 ","")))&amp;Activities!$B34&amp;CHAR(10)&amp;REPT("●",Activities!$F34),"")</f>
        <v>⚙️ Internship administration: timesheets, check-ins &amp; ongoing support
●●●</v>
      </c>
      <c r="J34" s="7" t="str">
        <f>IF(AND(Activities!$A34&lt;&gt;"",IF(Activities!$E34&lt;&gt;"",ISNUMBER(SEARCH(",8,",","&amp;Activities!$E34&amp;",")),AND(Activities!$C34&lt;=8,Activities!$D34&gt;=8))),IF(Activities!$H34="Coaches","🌱 ",IF(Activities!$H34="Coordinators","⚙️ ",IF(Activities!$H34="Both","👥 ","")))&amp;Activities!$B34&amp;CHAR(10)&amp;REPT("●",Activities!$F34),"")</f>
        <v>⚙️ Internship administration: timesheets, check-ins &amp; ongoing support
●●●</v>
      </c>
      <c r="K34" s="7" t="str">
        <f>IF(AND(Activities!$A34&lt;&gt;"",IF(Activities!$E34&lt;&gt;"",ISNUMBER(SEARCH(",9,",","&amp;Activities!$E34&amp;",")),AND(Activities!$C34&lt;=9,Activities!$D34&gt;=9))),IF(Activities!$H34="Coaches","🌱 ",IF(Activities!$H34="Coordinators","⚙️ ",IF(Activities!$H34="Both","👥 ","")))&amp;Activities!$B34&amp;CHAR(10)&amp;REPT("●",Activities!$F34),"")</f>
        <v>⚙️ Internship administration: timesheets, check-ins &amp; ongoing support
●●●</v>
      </c>
      <c r="L34" s="7" t="str">
        <f>IF(AND(Activities!$A34&lt;&gt;"",IF(Activities!$E34&lt;&gt;"",ISNUMBER(SEARCH(",10,",","&amp;Activities!$E34&amp;",")),AND(Activities!$C34&lt;=10,Activities!$D34&gt;=10))),IF(Activities!$H34="Coaches","🌱 ",IF(Activities!$H34="Coordinators","⚙️ ",IF(Activities!$H34="Both","👥 ","")))&amp;Activities!$B34&amp;CHAR(10)&amp;REPT("●",Activities!$F34),"")</f>
        <v>⚙️ Internship administration: timesheets, check-ins &amp; ongoing support
●●●</v>
      </c>
      <c r="M34" s="7" t="str">
        <f>IF(AND(Activities!$A34&lt;&gt;"",IF(Activities!$E34&lt;&gt;"",ISNUMBER(SEARCH(",11,",","&amp;Activities!$E34&amp;",")),AND(Activities!$C34&lt;=11,Activities!$D34&gt;=11))),IF(Activities!$H34="Coaches","🌱 ",IF(Activities!$H34="Coordinators","⚙️ ",IF(Activities!$H34="Both","👥 ","")))&amp;Activities!$B34&amp;CHAR(10)&amp;REPT("●",Activities!$F34),"")</f>
        <v>⚙️ Internship administration: timesheets, check-ins &amp; ongoing support
●●●</v>
      </c>
      <c r="N34" s="7" t="str">
        <f>IF(AND(Activities!$A34&lt;&gt;"",IF(Activities!$E34&lt;&gt;"",ISNUMBER(SEARCH(",12,",","&amp;Activities!$E34&amp;",")),AND(Activities!$C34&lt;=12,Activities!$D34&gt;=12))),IF(Activities!$H34="Coaches","🌱 ",IF(Activities!$H34="Coordinators","⚙️ ",IF(Activities!$H34="Both","👥 ","")))&amp;Activities!$B34&amp;CHAR(10)&amp;REPT("●",Activities!$F34),"")</f>
        <v>⚙️ Internship administration: timesheets, check-ins &amp; ongoing support
●●●</v>
      </c>
    </row>
    <row r="35" spans="1:14" s="8" customFormat="1" ht="42">
      <c r="A35" s="14" t="str">
        <f>IF(Activities!$A35&lt;&gt;"",Activities!$A35,"")</f>
        <v>Internships &amp; Work Readiness</v>
      </c>
      <c r="B35" s="7" t="str">
        <f>IF(Activities!$B35&lt;&gt;"",Activities!$B35,"")</f>
        <v>Teacher-led internship program support</v>
      </c>
      <c r="C35" s="7" t="str">
        <f>IF(AND(Activities!$A35&lt;&gt;"",IF(Activities!$E35&lt;&gt;"",ISNUMBER(SEARCH(",1,",","&amp;Activities!$E35&amp;",")),AND(Activities!$C35&lt;=1,Activities!$D35&gt;=1))),IF(Activities!$H35="Coaches","🌱 ",IF(Activities!$H35="Coordinators","⚙️ ",IF(Activities!$H35="Both","👥 ","")))&amp;Activities!$B35&amp;CHAR(10)&amp;REPT("●",Activities!$F35),"")</f>
        <v/>
      </c>
      <c r="D35" s="7" t="str">
        <f>IF(AND(Activities!$A35&lt;&gt;"",IF(Activities!$E35&lt;&gt;"",ISNUMBER(SEARCH(",2,",","&amp;Activities!$E35&amp;",")),AND(Activities!$C35&lt;=2,Activities!$D35&gt;=2))),IF(Activities!$H35="Coaches","🌱 ",IF(Activities!$H35="Coordinators","⚙️ ",IF(Activities!$H35="Both","👥 ","")))&amp;Activities!$B35&amp;CHAR(10)&amp;REPT("●",Activities!$F35),"")</f>
        <v/>
      </c>
      <c r="E35" s="7" t="str">
        <f>IF(AND(Activities!$A35&lt;&gt;"",IF(Activities!$E35&lt;&gt;"",ISNUMBER(SEARCH(",3,",","&amp;Activities!$E35&amp;",")),AND(Activities!$C35&lt;=3,Activities!$D35&gt;=3))),IF(Activities!$H35="Coaches","🌱 ",IF(Activities!$H35="Coordinators","⚙️ ",IF(Activities!$H35="Both","👥 ","")))&amp;Activities!$B35&amp;CHAR(10)&amp;REPT("●",Activities!$F35),"")</f>
        <v>⚙️ Teacher-led internship program support
●</v>
      </c>
      <c r="F35" s="7" t="str">
        <f>IF(AND(Activities!$A35&lt;&gt;"",IF(Activities!$E35&lt;&gt;"",ISNUMBER(SEARCH(",4,",","&amp;Activities!$E35&amp;",")),AND(Activities!$C35&lt;=4,Activities!$D35&gt;=4))),IF(Activities!$H35="Coaches","🌱 ",IF(Activities!$H35="Coordinators","⚙️ ",IF(Activities!$H35="Both","👥 ","")))&amp;Activities!$B35&amp;CHAR(10)&amp;REPT("●",Activities!$F35),"")</f>
        <v>⚙️ Teacher-led internship program support
●</v>
      </c>
      <c r="G35" s="7" t="str">
        <f>IF(AND(Activities!$A35&lt;&gt;"",IF(Activities!$E35&lt;&gt;"",ISNUMBER(SEARCH(",5,",","&amp;Activities!$E35&amp;",")),AND(Activities!$C35&lt;=5,Activities!$D35&gt;=5))),IF(Activities!$H35="Coaches","🌱 ",IF(Activities!$H35="Coordinators","⚙️ ",IF(Activities!$H35="Both","👥 ","")))&amp;Activities!$B35&amp;CHAR(10)&amp;REPT("●",Activities!$F35),"")</f>
        <v>⚙️ Teacher-led internship program support
●</v>
      </c>
      <c r="H35" s="7" t="str">
        <f>IF(AND(Activities!$A35&lt;&gt;"",IF(Activities!$E35&lt;&gt;"",ISNUMBER(SEARCH(",6,",","&amp;Activities!$E35&amp;",")),AND(Activities!$C35&lt;=6,Activities!$D35&gt;=6))),IF(Activities!$H35="Coaches","🌱 ",IF(Activities!$H35="Coordinators","⚙️ ",IF(Activities!$H35="Both","👥 ","")))&amp;Activities!$B35&amp;CHAR(10)&amp;REPT("●",Activities!$F35),"")</f>
        <v>⚙️ Teacher-led internship program support
●</v>
      </c>
      <c r="I35" s="7" t="str">
        <f>IF(AND(Activities!$A35&lt;&gt;"",IF(Activities!$E35&lt;&gt;"",ISNUMBER(SEARCH(",7,",","&amp;Activities!$E35&amp;",")),AND(Activities!$C35&lt;=7,Activities!$D35&gt;=7))),IF(Activities!$H35="Coaches","🌱 ",IF(Activities!$H35="Coordinators","⚙️ ",IF(Activities!$H35="Both","👥 ","")))&amp;Activities!$B35&amp;CHAR(10)&amp;REPT("●",Activities!$F35),"")</f>
        <v>⚙️ Teacher-led internship program support
●</v>
      </c>
      <c r="J35" s="7" t="str">
        <f>IF(AND(Activities!$A35&lt;&gt;"",IF(Activities!$E35&lt;&gt;"",ISNUMBER(SEARCH(",8,",","&amp;Activities!$E35&amp;",")),AND(Activities!$C35&lt;=8,Activities!$D35&gt;=8))),IF(Activities!$H35="Coaches","🌱 ",IF(Activities!$H35="Coordinators","⚙️ ",IF(Activities!$H35="Both","👥 ","")))&amp;Activities!$B35&amp;CHAR(10)&amp;REPT("●",Activities!$F35),"")</f>
        <v>⚙️ Teacher-led internship program support
●</v>
      </c>
      <c r="K35" s="7" t="str">
        <f>IF(AND(Activities!$A35&lt;&gt;"",IF(Activities!$E35&lt;&gt;"",ISNUMBER(SEARCH(",9,",","&amp;Activities!$E35&amp;",")),AND(Activities!$C35&lt;=9,Activities!$D35&gt;=9))),IF(Activities!$H35="Coaches","🌱 ",IF(Activities!$H35="Coordinators","⚙️ ",IF(Activities!$H35="Both","👥 ","")))&amp;Activities!$B35&amp;CHAR(10)&amp;REPT("●",Activities!$F35),"")</f>
        <v>⚙️ Teacher-led internship program support
●</v>
      </c>
      <c r="L35" s="7" t="str">
        <f>IF(AND(Activities!$A35&lt;&gt;"",IF(Activities!$E35&lt;&gt;"",ISNUMBER(SEARCH(",10,",","&amp;Activities!$E35&amp;",")),AND(Activities!$C35&lt;=10,Activities!$D35&gt;=10))),IF(Activities!$H35="Coaches","🌱 ",IF(Activities!$H35="Coordinators","⚙️ ",IF(Activities!$H35="Both","👥 ","")))&amp;Activities!$B35&amp;CHAR(10)&amp;REPT("●",Activities!$F35),"")</f>
        <v>⚙️ Teacher-led internship program support
●</v>
      </c>
      <c r="M35" s="7" t="str">
        <f>IF(AND(Activities!$A35&lt;&gt;"",IF(Activities!$E35&lt;&gt;"",ISNUMBER(SEARCH(",11,",","&amp;Activities!$E35&amp;",")),AND(Activities!$C35&lt;=11,Activities!$D35&gt;=11))),IF(Activities!$H35="Coaches","🌱 ",IF(Activities!$H35="Coordinators","⚙️ ",IF(Activities!$H35="Both","👥 ","")))&amp;Activities!$B35&amp;CHAR(10)&amp;REPT("●",Activities!$F35),"")</f>
        <v>⚙️ Teacher-led internship program support
●</v>
      </c>
      <c r="N35" s="7" t="str">
        <f>IF(AND(Activities!$A35&lt;&gt;"",IF(Activities!$E35&lt;&gt;"",ISNUMBER(SEARCH(",12,",","&amp;Activities!$E35&amp;",")),AND(Activities!$C35&lt;=12,Activities!$D35&gt;=12))),IF(Activities!$H35="Coaches","🌱 ",IF(Activities!$H35="Coordinators","⚙️ ",IF(Activities!$H35="Both","👥 ","")))&amp;Activities!$B35&amp;CHAR(10)&amp;REPT("●",Activities!$F35),"")</f>
        <v>⚙️ Teacher-led internship program support
●</v>
      </c>
    </row>
    <row r="36" spans="1:14" s="8" customFormat="1" ht="42">
      <c r="A36" s="14" t="str">
        <f>IF(Activities!$A36&lt;&gt;"",Activities!$A36,"")</f>
        <v>Internships &amp; Work Readiness</v>
      </c>
      <c r="B36" s="7" t="str">
        <f>IF(Activities!$B36&lt;&gt;"",Activities!$B36,"")</f>
        <v>Internship closeout &amp; program reflection</v>
      </c>
      <c r="C36" s="7" t="str">
        <f>IF(AND(Activities!$A36&lt;&gt;"",IF(Activities!$E36&lt;&gt;"",ISNUMBER(SEARCH(",1,",","&amp;Activities!$E36&amp;",")),AND(Activities!$C36&lt;=1,Activities!$D36&gt;=1))),IF(Activities!$H36="Coaches","🌱 ",IF(Activities!$H36="Coordinators","⚙️ ",IF(Activities!$H36="Both","👥 ","")))&amp;Activities!$B36&amp;CHAR(10)&amp;REPT("●",Activities!$F36),"")</f>
        <v/>
      </c>
      <c r="D36" s="7" t="str">
        <f>IF(AND(Activities!$A36&lt;&gt;"",IF(Activities!$E36&lt;&gt;"",ISNUMBER(SEARCH(",2,",","&amp;Activities!$E36&amp;",")),AND(Activities!$C36&lt;=2,Activities!$D36&gt;=2))),IF(Activities!$H36="Coaches","🌱 ",IF(Activities!$H36="Coordinators","⚙️ ",IF(Activities!$H36="Both","👥 ","")))&amp;Activities!$B36&amp;CHAR(10)&amp;REPT("●",Activities!$F36),"")</f>
        <v/>
      </c>
      <c r="E36" s="7" t="str">
        <f>IF(AND(Activities!$A36&lt;&gt;"",IF(Activities!$E36&lt;&gt;"",ISNUMBER(SEARCH(",3,",","&amp;Activities!$E36&amp;",")),AND(Activities!$C36&lt;=3,Activities!$D36&gt;=3))),IF(Activities!$H36="Coaches","🌱 ",IF(Activities!$H36="Coordinators","⚙️ ",IF(Activities!$H36="Both","👥 ","")))&amp;Activities!$B36&amp;CHAR(10)&amp;REPT("●",Activities!$F36),"")</f>
        <v/>
      </c>
      <c r="F36" s="7" t="str">
        <f>IF(AND(Activities!$A36&lt;&gt;"",IF(Activities!$E36&lt;&gt;"",ISNUMBER(SEARCH(",4,",","&amp;Activities!$E36&amp;",")),AND(Activities!$C36&lt;=4,Activities!$D36&gt;=4))),IF(Activities!$H36="Coaches","🌱 ",IF(Activities!$H36="Coordinators","⚙️ ",IF(Activities!$H36="Both","👥 ","")))&amp;Activities!$B36&amp;CHAR(10)&amp;REPT("●",Activities!$F36),"")</f>
        <v/>
      </c>
      <c r="G36" s="7" t="str">
        <f>IF(AND(Activities!$A36&lt;&gt;"",IF(Activities!$E36&lt;&gt;"",ISNUMBER(SEARCH(",5,",","&amp;Activities!$E36&amp;",")),AND(Activities!$C36&lt;=5,Activities!$D36&gt;=5))),IF(Activities!$H36="Coaches","🌱 ",IF(Activities!$H36="Coordinators","⚙️ ",IF(Activities!$H36="Both","👥 ","")))&amp;Activities!$B36&amp;CHAR(10)&amp;REPT("●",Activities!$F36),"")</f>
        <v/>
      </c>
      <c r="H36" s="7" t="str">
        <f>IF(AND(Activities!$A36&lt;&gt;"",IF(Activities!$E36&lt;&gt;"",ISNUMBER(SEARCH(",6,",","&amp;Activities!$E36&amp;",")),AND(Activities!$C36&lt;=6,Activities!$D36&gt;=6))),IF(Activities!$H36="Coaches","🌱 ",IF(Activities!$H36="Coordinators","⚙️ ",IF(Activities!$H36="Both","👥 ","")))&amp;Activities!$B36&amp;CHAR(10)&amp;REPT("●",Activities!$F36),"")</f>
        <v/>
      </c>
      <c r="I36" s="7" t="str">
        <f>IF(AND(Activities!$A36&lt;&gt;"",IF(Activities!$E36&lt;&gt;"",ISNUMBER(SEARCH(",7,",","&amp;Activities!$E36&amp;",")),AND(Activities!$C36&lt;=7,Activities!$D36&gt;=7))),IF(Activities!$H36="Coaches","🌱 ",IF(Activities!$H36="Coordinators","⚙️ ",IF(Activities!$H36="Both","👥 ","")))&amp;Activities!$B36&amp;CHAR(10)&amp;REPT("●",Activities!$F36),"")</f>
        <v/>
      </c>
      <c r="J36" s="7" t="str">
        <f>IF(AND(Activities!$A36&lt;&gt;"",IF(Activities!$E36&lt;&gt;"",ISNUMBER(SEARCH(",8,",","&amp;Activities!$E36&amp;",")),AND(Activities!$C36&lt;=8,Activities!$D36&gt;=8))),IF(Activities!$H36="Coaches","🌱 ",IF(Activities!$H36="Coordinators","⚙️ ",IF(Activities!$H36="Both","👥 ","")))&amp;Activities!$B36&amp;CHAR(10)&amp;REPT("●",Activities!$F36),"")</f>
        <v/>
      </c>
      <c r="K36" s="7" t="str">
        <f>IF(AND(Activities!$A36&lt;&gt;"",IF(Activities!$E36&lt;&gt;"",ISNUMBER(SEARCH(",9,",","&amp;Activities!$E36&amp;",")),AND(Activities!$C36&lt;=9,Activities!$D36&gt;=9))),IF(Activities!$H36="Coaches","🌱 ",IF(Activities!$H36="Coordinators","⚙️ ",IF(Activities!$H36="Both","👥 ","")))&amp;Activities!$B36&amp;CHAR(10)&amp;REPT("●",Activities!$F36),"")</f>
        <v/>
      </c>
      <c r="L36" s="7" t="str">
        <f>IF(AND(Activities!$A36&lt;&gt;"",IF(Activities!$E36&lt;&gt;"",ISNUMBER(SEARCH(",10,",","&amp;Activities!$E36&amp;",")),AND(Activities!$C36&lt;=10,Activities!$D36&gt;=10))),IF(Activities!$H36="Coaches","🌱 ",IF(Activities!$H36="Coordinators","⚙️ ",IF(Activities!$H36="Both","👥 ","")))&amp;Activities!$B36&amp;CHAR(10)&amp;REPT("●",Activities!$F36),"")</f>
        <v/>
      </c>
      <c r="M36" s="7" t="str">
        <f>IF(AND(Activities!$A36&lt;&gt;"",IF(Activities!$E36&lt;&gt;"",ISNUMBER(SEARCH(",11,",","&amp;Activities!$E36&amp;",")),AND(Activities!$C36&lt;=11,Activities!$D36&gt;=11))),IF(Activities!$H36="Coaches","🌱 ",IF(Activities!$H36="Coordinators","⚙️ ",IF(Activities!$H36="Both","👥 ","")))&amp;Activities!$B36&amp;CHAR(10)&amp;REPT("●",Activities!$F36),"")</f>
        <v>⚙️ Internship closeout &amp; program reflection
●●</v>
      </c>
      <c r="N36" s="7" t="str">
        <f>IF(AND(Activities!$A36&lt;&gt;"",IF(Activities!$E36&lt;&gt;"",ISNUMBER(SEARCH(",12,",","&amp;Activities!$E36&amp;",")),AND(Activities!$C36&lt;=12,Activities!$D36&gt;=12))),IF(Activities!$H36="Coaches","🌱 ",IF(Activities!$H36="Coordinators","⚙️ ",IF(Activities!$H36="Both","👥 ","")))&amp;Activities!$B36&amp;CHAR(10)&amp;REPT("●",Activities!$F36),"")</f>
        <v>⚙️ Internship closeout &amp; program reflection
●●</v>
      </c>
    </row>
    <row r="37" spans="1:14" s="8" customFormat="1" ht="56">
      <c r="A37" s="14" t="str">
        <f>IF(Activities!$A37&lt;&gt;"",Activities!$A37,"")</f>
        <v>Internships &amp; Work Readiness</v>
      </c>
      <c r="B37" s="7" t="str">
        <f>IF(Activities!$B37&lt;&gt;"",Activities!$B37,"")</f>
        <v>Parent/student information &amp; campus outreach</v>
      </c>
      <c r="C37" s="7" t="str">
        <f>IF(AND(Activities!$A37&lt;&gt;"",IF(Activities!$E37&lt;&gt;"",ISNUMBER(SEARCH(",1,",","&amp;Activities!$E37&amp;",")),AND(Activities!$C37&lt;=1,Activities!$D37&gt;=1))),IF(Activities!$H37="Coaches","🌱 ",IF(Activities!$H37="Coordinators","⚙️ ",IF(Activities!$H37="Both","👥 ","")))&amp;Activities!$B37&amp;CHAR(10)&amp;REPT("●",Activities!$F37),"")</f>
        <v/>
      </c>
      <c r="D37" s="7" t="str">
        <f>IF(AND(Activities!$A37&lt;&gt;"",IF(Activities!$E37&lt;&gt;"",ISNUMBER(SEARCH(",2,",","&amp;Activities!$E37&amp;",")),AND(Activities!$C37&lt;=2,Activities!$D37&gt;=2))),IF(Activities!$H37="Coaches","🌱 ",IF(Activities!$H37="Coordinators","⚙️ ",IF(Activities!$H37="Both","👥 ","")))&amp;Activities!$B37&amp;CHAR(10)&amp;REPT("●",Activities!$F37),"")</f>
        <v>⚙️ Parent/student information &amp; campus outreach
●</v>
      </c>
      <c r="E37" s="7" t="str">
        <f>IF(AND(Activities!$A37&lt;&gt;"",IF(Activities!$E37&lt;&gt;"",ISNUMBER(SEARCH(",3,",","&amp;Activities!$E37&amp;",")),AND(Activities!$C37&lt;=3,Activities!$D37&gt;=3))),IF(Activities!$H37="Coaches","🌱 ",IF(Activities!$H37="Coordinators","⚙️ ",IF(Activities!$H37="Both","👥 ","")))&amp;Activities!$B37&amp;CHAR(10)&amp;REPT("●",Activities!$F37),"")</f>
        <v>⚙️ Parent/student information &amp; campus outreach
●</v>
      </c>
      <c r="F37" s="7" t="str">
        <f>IF(AND(Activities!$A37&lt;&gt;"",IF(Activities!$E37&lt;&gt;"",ISNUMBER(SEARCH(",4,",","&amp;Activities!$E37&amp;",")),AND(Activities!$C37&lt;=4,Activities!$D37&gt;=4))),IF(Activities!$H37="Coaches","🌱 ",IF(Activities!$H37="Coordinators","⚙️ ",IF(Activities!$H37="Both","👥 ","")))&amp;Activities!$B37&amp;CHAR(10)&amp;REPT("●",Activities!$F37),"")</f>
        <v>⚙️ Parent/student information &amp; campus outreach
●</v>
      </c>
      <c r="G37" s="7" t="str">
        <f>IF(AND(Activities!$A37&lt;&gt;"",IF(Activities!$E37&lt;&gt;"",ISNUMBER(SEARCH(",5,",","&amp;Activities!$E37&amp;",")),AND(Activities!$C37&lt;=5,Activities!$D37&gt;=5))),IF(Activities!$H37="Coaches","🌱 ",IF(Activities!$H37="Coordinators","⚙️ ",IF(Activities!$H37="Both","👥 ","")))&amp;Activities!$B37&amp;CHAR(10)&amp;REPT("●",Activities!$F37),"")</f>
        <v>⚙️ Parent/student information &amp; campus outreach
●</v>
      </c>
      <c r="H37" s="7" t="str">
        <f>IF(AND(Activities!$A37&lt;&gt;"",IF(Activities!$E37&lt;&gt;"",ISNUMBER(SEARCH(",6,",","&amp;Activities!$E37&amp;",")),AND(Activities!$C37&lt;=6,Activities!$D37&gt;=6))),IF(Activities!$H37="Coaches","🌱 ",IF(Activities!$H37="Coordinators","⚙️ ",IF(Activities!$H37="Both","👥 ","")))&amp;Activities!$B37&amp;CHAR(10)&amp;REPT("●",Activities!$F37),"")</f>
        <v/>
      </c>
      <c r="I37" s="7" t="str">
        <f>IF(AND(Activities!$A37&lt;&gt;"",IF(Activities!$E37&lt;&gt;"",ISNUMBER(SEARCH(",7,",","&amp;Activities!$E37&amp;",")),AND(Activities!$C37&lt;=7,Activities!$D37&gt;=7))),IF(Activities!$H37="Coaches","🌱 ",IF(Activities!$H37="Coordinators","⚙️ ",IF(Activities!$H37="Both","👥 ","")))&amp;Activities!$B37&amp;CHAR(10)&amp;REPT("●",Activities!$F37),"")</f>
        <v/>
      </c>
      <c r="J37" s="7" t="str">
        <f>IF(AND(Activities!$A37&lt;&gt;"",IF(Activities!$E37&lt;&gt;"",ISNUMBER(SEARCH(",8,",","&amp;Activities!$E37&amp;",")),AND(Activities!$C37&lt;=8,Activities!$D37&gt;=8))),IF(Activities!$H37="Coaches","🌱 ",IF(Activities!$H37="Coordinators","⚙️ ",IF(Activities!$H37="Both","👥 ","")))&amp;Activities!$B37&amp;CHAR(10)&amp;REPT("●",Activities!$F37),"")</f>
        <v/>
      </c>
      <c r="K37" s="7" t="str">
        <f>IF(AND(Activities!$A37&lt;&gt;"",IF(Activities!$E37&lt;&gt;"",ISNUMBER(SEARCH(",9,",","&amp;Activities!$E37&amp;",")),AND(Activities!$C37&lt;=9,Activities!$D37&gt;=9))),IF(Activities!$H37="Coaches","🌱 ",IF(Activities!$H37="Coordinators","⚙️ ",IF(Activities!$H37="Both","👥 ","")))&amp;Activities!$B37&amp;CHAR(10)&amp;REPT("●",Activities!$F37),"")</f>
        <v/>
      </c>
      <c r="L37" s="7" t="str">
        <f>IF(AND(Activities!$A37&lt;&gt;"",IF(Activities!$E37&lt;&gt;"",ISNUMBER(SEARCH(",10,",","&amp;Activities!$E37&amp;",")),AND(Activities!$C37&lt;=10,Activities!$D37&gt;=10))),IF(Activities!$H37="Coaches","🌱 ",IF(Activities!$H37="Coordinators","⚙️ ",IF(Activities!$H37="Both","👥 ","")))&amp;Activities!$B37&amp;CHAR(10)&amp;REPT("●",Activities!$F37),"")</f>
        <v/>
      </c>
      <c r="M37" s="7" t="str">
        <f>IF(AND(Activities!$A37&lt;&gt;"",IF(Activities!$E37&lt;&gt;"",ISNUMBER(SEARCH(",11,",","&amp;Activities!$E37&amp;",")),AND(Activities!$C37&lt;=11,Activities!$D37&gt;=11))),IF(Activities!$H37="Coaches","🌱 ",IF(Activities!$H37="Coordinators","⚙️ ",IF(Activities!$H37="Both","👥 ","")))&amp;Activities!$B37&amp;CHAR(10)&amp;REPT("●",Activities!$F37),"")</f>
        <v/>
      </c>
      <c r="N37" s="7" t="str">
        <f>IF(AND(Activities!$A37&lt;&gt;"",IF(Activities!$E37&lt;&gt;"",ISNUMBER(SEARCH(",12,",","&amp;Activities!$E37&amp;",")),AND(Activities!$C37&lt;=12,Activities!$D37&gt;=12))),IF(Activities!$H37="Coaches","🌱 ",IF(Activities!$H37="Coordinators","⚙️ ",IF(Activities!$H37="Both","👥 ","")))&amp;Activities!$B37&amp;CHAR(10)&amp;REPT("●",Activities!$F37),"")</f>
        <v/>
      </c>
    </row>
    <row r="38" spans="1:14" s="8" customFormat="1" ht="56">
      <c r="A38" s="14" t="str">
        <f>IF(Activities!$A38&lt;&gt;"",Activities!$A38,"")</f>
        <v>Internships &amp; Work Readiness</v>
      </c>
      <c r="B38" s="7" t="str">
        <f>IF(Activities!$B38&lt;&gt;"",Activities!$B38,"")</f>
        <v>IRC / Workplace Readiness Badge implementation</v>
      </c>
      <c r="C38" s="7" t="str">
        <f>IF(AND(Activities!$A38&lt;&gt;"",IF(Activities!$E38&lt;&gt;"",ISNUMBER(SEARCH(",1,",","&amp;Activities!$E38&amp;",")),AND(Activities!$C38&lt;=1,Activities!$D38&gt;=1))),IF(Activities!$H38="Coaches","🌱 ",IF(Activities!$H38="Coordinators","⚙️ ",IF(Activities!$H38="Both","👥 ","")))&amp;Activities!$B38&amp;CHAR(10)&amp;REPT("●",Activities!$F38),"")</f>
        <v/>
      </c>
      <c r="D38" s="7" t="str">
        <f>IF(AND(Activities!$A38&lt;&gt;"",IF(Activities!$E38&lt;&gt;"",ISNUMBER(SEARCH(",2,",","&amp;Activities!$E38&amp;",")),AND(Activities!$C38&lt;=2,Activities!$D38&gt;=2))),IF(Activities!$H38="Coaches","🌱 ",IF(Activities!$H38="Coordinators","⚙️ ",IF(Activities!$H38="Both","👥 ","")))&amp;Activities!$B38&amp;CHAR(10)&amp;REPT("●",Activities!$F38),"")</f>
        <v/>
      </c>
      <c r="E38" s="7" t="str">
        <f>IF(AND(Activities!$A38&lt;&gt;"",IF(Activities!$E38&lt;&gt;"",ISNUMBER(SEARCH(",3,",","&amp;Activities!$E38&amp;",")),AND(Activities!$C38&lt;=3,Activities!$D38&gt;=3))),IF(Activities!$H38="Coaches","🌱 ",IF(Activities!$H38="Coordinators","⚙️ ",IF(Activities!$H38="Both","👥 ","")))&amp;Activities!$B38&amp;CHAR(10)&amp;REPT("●",Activities!$F38),"")</f>
        <v/>
      </c>
      <c r="F38" s="7" t="str">
        <f>IF(AND(Activities!$A38&lt;&gt;"",IF(Activities!$E38&lt;&gt;"",ISNUMBER(SEARCH(",4,",","&amp;Activities!$E38&amp;",")),AND(Activities!$C38&lt;=4,Activities!$D38&gt;=4))),IF(Activities!$H38="Coaches","🌱 ",IF(Activities!$H38="Coordinators","⚙️ ",IF(Activities!$H38="Both","👥 ","")))&amp;Activities!$B38&amp;CHAR(10)&amp;REPT("●",Activities!$F38),"")</f>
        <v/>
      </c>
      <c r="G38" s="7" t="str">
        <f>IF(AND(Activities!$A38&lt;&gt;"",IF(Activities!$E38&lt;&gt;"",ISNUMBER(SEARCH(",5,",","&amp;Activities!$E38&amp;",")),AND(Activities!$C38&lt;=5,Activities!$D38&gt;=5))),IF(Activities!$H38="Coaches","🌱 ",IF(Activities!$H38="Coordinators","⚙️ ",IF(Activities!$H38="Both","👥 ","")))&amp;Activities!$B38&amp;CHAR(10)&amp;REPT("●",Activities!$F38),"")</f>
        <v>⚙️ IRC / Workplace Readiness Badge implementation
●●</v>
      </c>
      <c r="H38" s="7" t="str">
        <f>IF(AND(Activities!$A38&lt;&gt;"",IF(Activities!$E38&lt;&gt;"",ISNUMBER(SEARCH(",6,",","&amp;Activities!$E38&amp;",")),AND(Activities!$C38&lt;=6,Activities!$D38&gt;=6))),IF(Activities!$H38="Coaches","🌱 ",IF(Activities!$H38="Coordinators","⚙️ ",IF(Activities!$H38="Both","👥 ","")))&amp;Activities!$B38&amp;CHAR(10)&amp;REPT("●",Activities!$F38),"")</f>
        <v/>
      </c>
      <c r="I38" s="7" t="str">
        <f>IF(AND(Activities!$A38&lt;&gt;"",IF(Activities!$E38&lt;&gt;"",ISNUMBER(SEARCH(",7,",","&amp;Activities!$E38&amp;",")),AND(Activities!$C38&lt;=7,Activities!$D38&gt;=7))),IF(Activities!$H38="Coaches","🌱 ",IF(Activities!$H38="Coordinators","⚙️ ",IF(Activities!$H38="Both","👥 ","")))&amp;Activities!$B38&amp;CHAR(10)&amp;REPT("●",Activities!$F38),"")</f>
        <v/>
      </c>
      <c r="J38" s="7" t="str">
        <f>IF(AND(Activities!$A38&lt;&gt;"",IF(Activities!$E38&lt;&gt;"",ISNUMBER(SEARCH(",8,",","&amp;Activities!$E38&amp;",")),AND(Activities!$C38&lt;=8,Activities!$D38&gt;=8))),IF(Activities!$H38="Coaches","🌱 ",IF(Activities!$H38="Coordinators","⚙️ ",IF(Activities!$H38="Both","👥 ","")))&amp;Activities!$B38&amp;CHAR(10)&amp;REPT("●",Activities!$F38),"")</f>
        <v/>
      </c>
      <c r="K38" s="7" t="str">
        <f>IF(AND(Activities!$A38&lt;&gt;"",IF(Activities!$E38&lt;&gt;"",ISNUMBER(SEARCH(",9,",","&amp;Activities!$E38&amp;",")),AND(Activities!$C38&lt;=9,Activities!$D38&gt;=9))),IF(Activities!$H38="Coaches","🌱 ",IF(Activities!$H38="Coordinators","⚙️ ",IF(Activities!$H38="Both","👥 ","")))&amp;Activities!$B38&amp;CHAR(10)&amp;REPT("●",Activities!$F38),"")</f>
        <v/>
      </c>
      <c r="L38" s="7" t="str">
        <f>IF(AND(Activities!$A38&lt;&gt;"",IF(Activities!$E38&lt;&gt;"",ISNUMBER(SEARCH(",10,",","&amp;Activities!$E38&amp;",")),AND(Activities!$C38&lt;=10,Activities!$D38&gt;=10))),IF(Activities!$H38="Coaches","🌱 ",IF(Activities!$H38="Coordinators","⚙️ ",IF(Activities!$H38="Both","👥 ","")))&amp;Activities!$B38&amp;CHAR(10)&amp;REPT("●",Activities!$F38),"")</f>
        <v/>
      </c>
      <c r="M38" s="7" t="str">
        <f>IF(AND(Activities!$A38&lt;&gt;"",IF(Activities!$E38&lt;&gt;"",ISNUMBER(SEARCH(",11,",","&amp;Activities!$E38&amp;",")),AND(Activities!$C38&lt;=11,Activities!$D38&gt;=11))),IF(Activities!$H38="Coaches","🌱 ",IF(Activities!$H38="Coordinators","⚙️ ",IF(Activities!$H38="Both","👥 ","")))&amp;Activities!$B38&amp;CHAR(10)&amp;REPT("●",Activities!$F38),"")</f>
        <v/>
      </c>
      <c r="N38" s="7" t="str">
        <f>IF(AND(Activities!$A38&lt;&gt;"",IF(Activities!$E38&lt;&gt;"",ISNUMBER(SEARCH(",12,",","&amp;Activities!$E38&amp;",")),AND(Activities!$C38&lt;=12,Activities!$D38&gt;=12))),IF(Activities!$H38="Coaches","🌱 ",IF(Activities!$H38="Coordinators","⚙️ ",IF(Activities!$H38="Both","👥 ","")))&amp;Activities!$B38&amp;CHAR(10)&amp;REPT("●",Activities!$F38),"")</f>
        <v/>
      </c>
    </row>
    <row r="39" spans="1:14" s="8" customFormat="1" ht="60">
      <c r="A39" s="14" t="str">
        <f>IF(Activities!$A39&lt;&gt;"",Activities!$A39,"")</f>
        <v>WBL Operations, Logistics &amp; Reporting</v>
      </c>
      <c r="B39" s="7" t="str">
        <f>IF(Activities!$B39&lt;&gt;"",Activities!$B39,"")</f>
        <v>Field trip coordination, transportation &amp; documentation logistics</v>
      </c>
      <c r="C39" s="7" t="str">
        <f>IF(AND(Activities!$A39&lt;&gt;"",IF(Activities!$E39&lt;&gt;"",ISNUMBER(SEARCH(",1,",","&amp;Activities!$E39&amp;",")),AND(Activities!$C39&lt;=1,Activities!$D39&gt;=1))),IF(Activities!$H39="Coaches","🌱 ",IF(Activities!$H39="Coordinators","⚙️ ",IF(Activities!$H39="Both","👥 ","")))&amp;Activities!$B39&amp;CHAR(10)&amp;REPT("●",Activities!$F39),"")</f>
        <v/>
      </c>
      <c r="D39" s="7" t="str">
        <f>IF(AND(Activities!$A39&lt;&gt;"",IF(Activities!$E39&lt;&gt;"",ISNUMBER(SEARCH(",2,",","&amp;Activities!$E39&amp;",")),AND(Activities!$C39&lt;=2,Activities!$D39&gt;=2))),IF(Activities!$H39="Coaches","🌱 ",IF(Activities!$H39="Coordinators","⚙️ ",IF(Activities!$H39="Both","👥 ","")))&amp;Activities!$B39&amp;CHAR(10)&amp;REPT("●",Activities!$F39),"")</f>
        <v>⚙️ Field trip coordination, transportation &amp; documentation logistics
●●</v>
      </c>
      <c r="E39" s="7" t="str">
        <f>IF(AND(Activities!$A39&lt;&gt;"",IF(Activities!$E39&lt;&gt;"",ISNUMBER(SEARCH(",3,",","&amp;Activities!$E39&amp;",")),AND(Activities!$C39&lt;=3,Activities!$D39&gt;=3))),IF(Activities!$H39="Coaches","🌱 ",IF(Activities!$H39="Coordinators","⚙️ ",IF(Activities!$H39="Both","👥 ","")))&amp;Activities!$B39&amp;CHAR(10)&amp;REPT("●",Activities!$F39),"")</f>
        <v>⚙️ Field trip coordination, transportation &amp; documentation logistics
●●</v>
      </c>
      <c r="F39" s="7" t="str">
        <f>IF(AND(Activities!$A39&lt;&gt;"",IF(Activities!$E39&lt;&gt;"",ISNUMBER(SEARCH(",4,",","&amp;Activities!$E39&amp;",")),AND(Activities!$C39&lt;=4,Activities!$D39&gt;=4))),IF(Activities!$H39="Coaches","🌱 ",IF(Activities!$H39="Coordinators","⚙️ ",IF(Activities!$H39="Both","👥 ","")))&amp;Activities!$B39&amp;CHAR(10)&amp;REPT("●",Activities!$F39),"")</f>
        <v>⚙️ Field trip coordination, transportation &amp; documentation logistics
●●</v>
      </c>
      <c r="G39" s="7" t="str">
        <f>IF(AND(Activities!$A39&lt;&gt;"",IF(Activities!$E39&lt;&gt;"",ISNUMBER(SEARCH(",5,",","&amp;Activities!$E39&amp;",")),AND(Activities!$C39&lt;=5,Activities!$D39&gt;=5))),IF(Activities!$H39="Coaches","🌱 ",IF(Activities!$H39="Coordinators","⚙️ ",IF(Activities!$H39="Both","👥 ","")))&amp;Activities!$B39&amp;CHAR(10)&amp;REPT("●",Activities!$F39),"")</f>
        <v>⚙️ Field trip coordination, transportation &amp; documentation logistics
●●</v>
      </c>
      <c r="H39" s="7" t="str">
        <f>IF(AND(Activities!$A39&lt;&gt;"",IF(Activities!$E39&lt;&gt;"",ISNUMBER(SEARCH(",6,",","&amp;Activities!$E39&amp;",")),AND(Activities!$C39&lt;=6,Activities!$D39&gt;=6))),IF(Activities!$H39="Coaches","🌱 ",IF(Activities!$H39="Coordinators","⚙️ ",IF(Activities!$H39="Both","👥 ","")))&amp;Activities!$B39&amp;CHAR(10)&amp;REPT("●",Activities!$F39),"")</f>
        <v>⚙️ Field trip coordination, transportation &amp; documentation logistics
●●</v>
      </c>
      <c r="I39" s="7" t="str">
        <f>IF(AND(Activities!$A39&lt;&gt;"",IF(Activities!$E39&lt;&gt;"",ISNUMBER(SEARCH(",7,",","&amp;Activities!$E39&amp;",")),AND(Activities!$C39&lt;=7,Activities!$D39&gt;=7))),IF(Activities!$H39="Coaches","🌱 ",IF(Activities!$H39="Coordinators","⚙️ ",IF(Activities!$H39="Both","👥 ","")))&amp;Activities!$B39&amp;CHAR(10)&amp;REPT("●",Activities!$F39),"")</f>
        <v>⚙️ Field trip coordination, transportation &amp; documentation logistics
●●</v>
      </c>
      <c r="J39" s="7" t="str">
        <f>IF(AND(Activities!$A39&lt;&gt;"",IF(Activities!$E39&lt;&gt;"",ISNUMBER(SEARCH(",8,",","&amp;Activities!$E39&amp;",")),AND(Activities!$C39&lt;=8,Activities!$D39&gt;=8))),IF(Activities!$H39="Coaches","🌱 ",IF(Activities!$H39="Coordinators","⚙️ ",IF(Activities!$H39="Both","👥 ","")))&amp;Activities!$B39&amp;CHAR(10)&amp;REPT("●",Activities!$F39),"")</f>
        <v>⚙️ Field trip coordination, transportation &amp; documentation logistics
●●</v>
      </c>
      <c r="K39" s="7" t="str">
        <f>IF(AND(Activities!$A39&lt;&gt;"",IF(Activities!$E39&lt;&gt;"",ISNUMBER(SEARCH(",9,",","&amp;Activities!$E39&amp;",")),AND(Activities!$C39&lt;=9,Activities!$D39&gt;=9))),IF(Activities!$H39="Coaches","🌱 ",IF(Activities!$H39="Coordinators","⚙️ ",IF(Activities!$H39="Both","👥 ","")))&amp;Activities!$B39&amp;CHAR(10)&amp;REPT("●",Activities!$F39),"")</f>
        <v>⚙️ Field trip coordination, transportation &amp; documentation logistics
●●</v>
      </c>
      <c r="L39" s="7" t="str">
        <f>IF(AND(Activities!$A39&lt;&gt;"",IF(Activities!$E39&lt;&gt;"",ISNUMBER(SEARCH(",10,",","&amp;Activities!$E39&amp;",")),AND(Activities!$C39&lt;=10,Activities!$D39&gt;=10))),IF(Activities!$H39="Coaches","🌱 ",IF(Activities!$H39="Coordinators","⚙️ ",IF(Activities!$H39="Both","👥 ","")))&amp;Activities!$B39&amp;CHAR(10)&amp;REPT("●",Activities!$F39),"")</f>
        <v>⚙️ Field trip coordination, transportation &amp; documentation logistics
●●</v>
      </c>
      <c r="M39" s="7" t="str">
        <f>IF(AND(Activities!$A39&lt;&gt;"",IF(Activities!$E39&lt;&gt;"",ISNUMBER(SEARCH(",11,",","&amp;Activities!$E39&amp;",")),AND(Activities!$C39&lt;=11,Activities!$D39&gt;=11))),IF(Activities!$H39="Coaches","🌱 ",IF(Activities!$H39="Coordinators","⚙️ ",IF(Activities!$H39="Both","👥 ","")))&amp;Activities!$B39&amp;CHAR(10)&amp;REPT("●",Activities!$F39),"")</f>
        <v>⚙️ Field trip coordination, transportation &amp; documentation logistics
●●</v>
      </c>
      <c r="N39" s="7" t="str">
        <f>IF(AND(Activities!$A39&lt;&gt;"",IF(Activities!$E39&lt;&gt;"",ISNUMBER(SEARCH(",12,",","&amp;Activities!$E39&amp;",")),AND(Activities!$C39&lt;=12,Activities!$D39&gt;=12))),IF(Activities!$H39="Coaches","🌱 ",IF(Activities!$H39="Coordinators","⚙️ ",IF(Activities!$H39="Both","👥 ","")))&amp;Activities!$B39&amp;CHAR(10)&amp;REPT("●",Activities!$F39),"")</f>
        <v/>
      </c>
    </row>
    <row r="40" spans="1:14" s="8" customFormat="1" ht="60">
      <c r="A40" s="14" t="str">
        <f>IF(Activities!$A40&lt;&gt;"",Activities!$A40,"")</f>
        <v>WBL Operations, Logistics &amp; Reporting</v>
      </c>
      <c r="B40" s="7" t="str">
        <f>IF(Activities!$B40&lt;&gt;"",Activities!$B40,"")</f>
        <v>Purchasing &amp; procurement support</v>
      </c>
      <c r="C40" s="7" t="str">
        <f>IF(AND(Activities!$A40&lt;&gt;"",IF(Activities!$E40&lt;&gt;"",ISNUMBER(SEARCH(",1,",","&amp;Activities!$E40&amp;",")),AND(Activities!$C40&lt;=1,Activities!$D40&gt;=1))),IF(Activities!$H40="Coaches","🌱 ",IF(Activities!$H40="Coordinators","⚙️ ",IF(Activities!$H40="Both","👥 ","")))&amp;Activities!$B40&amp;CHAR(10)&amp;REPT("●",Activities!$F40),"")</f>
        <v>⚙️ Purchasing &amp; procurement support
●●</v>
      </c>
      <c r="D40" s="7" t="str">
        <f>IF(AND(Activities!$A40&lt;&gt;"",IF(Activities!$E40&lt;&gt;"",ISNUMBER(SEARCH(",2,",","&amp;Activities!$E40&amp;",")),AND(Activities!$C40&lt;=2,Activities!$D40&gt;=2))),IF(Activities!$H40="Coaches","🌱 ",IF(Activities!$H40="Coordinators","⚙️ ",IF(Activities!$H40="Both","👥 ","")))&amp;Activities!$B40&amp;CHAR(10)&amp;REPT("●",Activities!$F40),"")</f>
        <v>⚙️ Purchasing &amp; procurement support
●●</v>
      </c>
      <c r="E40" s="7" t="str">
        <f>IF(AND(Activities!$A40&lt;&gt;"",IF(Activities!$E40&lt;&gt;"",ISNUMBER(SEARCH(",3,",","&amp;Activities!$E40&amp;",")),AND(Activities!$C40&lt;=3,Activities!$D40&gt;=3))),IF(Activities!$H40="Coaches","🌱 ",IF(Activities!$H40="Coordinators","⚙️ ",IF(Activities!$H40="Both","👥 ","")))&amp;Activities!$B40&amp;CHAR(10)&amp;REPT("●",Activities!$F40),"")</f>
        <v>⚙️ Purchasing &amp; procurement support
●●</v>
      </c>
      <c r="F40" s="7" t="str">
        <f>IF(AND(Activities!$A40&lt;&gt;"",IF(Activities!$E40&lt;&gt;"",ISNUMBER(SEARCH(",4,",","&amp;Activities!$E40&amp;",")),AND(Activities!$C40&lt;=4,Activities!$D40&gt;=4))),IF(Activities!$H40="Coaches","🌱 ",IF(Activities!$H40="Coordinators","⚙️ ",IF(Activities!$H40="Both","👥 ","")))&amp;Activities!$B40&amp;CHAR(10)&amp;REPT("●",Activities!$F40),"")</f>
        <v>⚙️ Purchasing &amp; procurement support
●●</v>
      </c>
      <c r="G40" s="7" t="str">
        <f>IF(AND(Activities!$A40&lt;&gt;"",IF(Activities!$E40&lt;&gt;"",ISNUMBER(SEARCH(",5,",","&amp;Activities!$E40&amp;",")),AND(Activities!$C40&lt;=5,Activities!$D40&gt;=5))),IF(Activities!$H40="Coaches","🌱 ",IF(Activities!$H40="Coordinators","⚙️ ",IF(Activities!$H40="Both","👥 ","")))&amp;Activities!$B40&amp;CHAR(10)&amp;REPT("●",Activities!$F40),"")</f>
        <v>⚙️ Purchasing &amp; procurement support
●●</v>
      </c>
      <c r="H40" s="7" t="str">
        <f>IF(AND(Activities!$A40&lt;&gt;"",IF(Activities!$E40&lt;&gt;"",ISNUMBER(SEARCH(",6,",","&amp;Activities!$E40&amp;",")),AND(Activities!$C40&lt;=6,Activities!$D40&gt;=6))),IF(Activities!$H40="Coaches","🌱 ",IF(Activities!$H40="Coordinators","⚙️ ",IF(Activities!$H40="Both","👥 ","")))&amp;Activities!$B40&amp;CHAR(10)&amp;REPT("●",Activities!$F40),"")</f>
        <v>⚙️ Purchasing &amp; procurement support
●●</v>
      </c>
      <c r="I40" s="7" t="str">
        <f>IF(AND(Activities!$A40&lt;&gt;"",IF(Activities!$E40&lt;&gt;"",ISNUMBER(SEARCH(",7,",","&amp;Activities!$E40&amp;",")),AND(Activities!$C40&lt;=7,Activities!$D40&gt;=7))),IF(Activities!$H40="Coaches","🌱 ",IF(Activities!$H40="Coordinators","⚙️ ",IF(Activities!$H40="Both","👥 ","")))&amp;Activities!$B40&amp;CHAR(10)&amp;REPT("●",Activities!$F40),"")</f>
        <v>⚙️ Purchasing &amp; procurement support
●●</v>
      </c>
      <c r="J40" s="7" t="str">
        <f>IF(AND(Activities!$A40&lt;&gt;"",IF(Activities!$E40&lt;&gt;"",ISNUMBER(SEARCH(",8,",","&amp;Activities!$E40&amp;",")),AND(Activities!$C40&lt;=8,Activities!$D40&gt;=8))),IF(Activities!$H40="Coaches","🌱 ",IF(Activities!$H40="Coordinators","⚙️ ",IF(Activities!$H40="Both","👥 ","")))&amp;Activities!$B40&amp;CHAR(10)&amp;REPT("●",Activities!$F40),"")</f>
        <v>⚙️ Purchasing &amp; procurement support
●●</v>
      </c>
      <c r="K40" s="7" t="str">
        <f>IF(AND(Activities!$A40&lt;&gt;"",IF(Activities!$E40&lt;&gt;"",ISNUMBER(SEARCH(",9,",","&amp;Activities!$E40&amp;",")),AND(Activities!$C40&lt;=9,Activities!$D40&gt;=9))),IF(Activities!$H40="Coaches","🌱 ",IF(Activities!$H40="Coordinators","⚙️ ",IF(Activities!$H40="Both","👥 ","")))&amp;Activities!$B40&amp;CHAR(10)&amp;REPT("●",Activities!$F40),"")</f>
        <v>⚙️ Purchasing &amp; procurement support
●●</v>
      </c>
      <c r="L40" s="7" t="str">
        <f>IF(AND(Activities!$A40&lt;&gt;"",IF(Activities!$E40&lt;&gt;"",ISNUMBER(SEARCH(",10,",","&amp;Activities!$E40&amp;",")),AND(Activities!$C40&lt;=10,Activities!$D40&gt;=10))),IF(Activities!$H40="Coaches","🌱 ",IF(Activities!$H40="Coordinators","⚙️ ",IF(Activities!$H40="Both","👥 ","")))&amp;Activities!$B40&amp;CHAR(10)&amp;REPT("●",Activities!$F40),"")</f>
        <v>⚙️ Purchasing &amp; procurement support
●●</v>
      </c>
      <c r="M40" s="7" t="str">
        <f>IF(AND(Activities!$A40&lt;&gt;"",IF(Activities!$E40&lt;&gt;"",ISNUMBER(SEARCH(",11,",","&amp;Activities!$E40&amp;",")),AND(Activities!$C40&lt;=11,Activities!$D40&gt;=11))),IF(Activities!$H40="Coaches","🌱 ",IF(Activities!$H40="Coordinators","⚙️ ",IF(Activities!$H40="Both","👥 ","")))&amp;Activities!$B40&amp;CHAR(10)&amp;REPT("●",Activities!$F40),"")</f>
        <v>⚙️ Purchasing &amp; procurement support
●●</v>
      </c>
      <c r="N40" s="7" t="str">
        <f>IF(AND(Activities!$A40&lt;&gt;"",IF(Activities!$E40&lt;&gt;"",ISNUMBER(SEARCH(",12,",","&amp;Activities!$E40&amp;",")),AND(Activities!$C40&lt;=12,Activities!$D40&gt;=12))),IF(Activities!$H40="Coaches","🌱 ",IF(Activities!$H40="Coordinators","⚙️ ",IF(Activities!$H40="Both","👥 ","")))&amp;Activities!$B40&amp;CHAR(10)&amp;REPT("●",Activities!$F40),"")</f>
        <v>⚙️ Purchasing &amp; procurement support
●●</v>
      </c>
    </row>
    <row r="41" spans="1:14" s="8" customFormat="1" ht="60">
      <c r="A41" s="14" t="str">
        <f>IF(Activities!$A41&lt;&gt;"",Activities!$A41,"")</f>
        <v>WBL Operations, Logistics &amp; Reporting</v>
      </c>
      <c r="B41" s="7" t="str">
        <f>IF(Activities!$B41&lt;&gt;"",Activities!$B41,"")</f>
        <v>MiSiS/WBL data systems, reporting, compliance &amp; training</v>
      </c>
      <c r="C41" s="7" t="str">
        <f>IF(AND(Activities!$A41&lt;&gt;"",IF(Activities!$E41&lt;&gt;"",ISNUMBER(SEARCH(",1,",","&amp;Activities!$E41&amp;",")),AND(Activities!$C41&lt;=1,Activities!$D41&gt;=1))),IF(Activities!$H41="Coaches","🌱 ",IF(Activities!$H41="Coordinators","⚙️ ",IF(Activities!$H41="Both","👥 ","")))&amp;Activities!$B41&amp;CHAR(10)&amp;REPT("●",Activities!$F41),"")</f>
        <v>⚙️ MiSiS/WBL data systems, reporting, compliance &amp; training
●●</v>
      </c>
      <c r="D41" s="7" t="str">
        <f>IF(AND(Activities!$A41&lt;&gt;"",IF(Activities!$E41&lt;&gt;"",ISNUMBER(SEARCH(",2,",","&amp;Activities!$E41&amp;",")),AND(Activities!$C41&lt;=2,Activities!$D41&gt;=2))),IF(Activities!$H41="Coaches","🌱 ",IF(Activities!$H41="Coordinators","⚙️ ",IF(Activities!$H41="Both","👥 ","")))&amp;Activities!$B41&amp;CHAR(10)&amp;REPT("●",Activities!$F41),"")</f>
        <v>⚙️ MiSiS/WBL data systems, reporting, compliance &amp; training
●●</v>
      </c>
      <c r="E41" s="7" t="str">
        <f>IF(AND(Activities!$A41&lt;&gt;"",IF(Activities!$E41&lt;&gt;"",ISNUMBER(SEARCH(",3,",","&amp;Activities!$E41&amp;",")),AND(Activities!$C41&lt;=3,Activities!$D41&gt;=3))),IF(Activities!$H41="Coaches","🌱 ",IF(Activities!$H41="Coordinators","⚙️ ",IF(Activities!$H41="Both","👥 ","")))&amp;Activities!$B41&amp;CHAR(10)&amp;REPT("●",Activities!$F41),"")</f>
        <v>⚙️ MiSiS/WBL data systems, reporting, compliance &amp; training
●●</v>
      </c>
      <c r="F41" s="7" t="str">
        <f>IF(AND(Activities!$A41&lt;&gt;"",IF(Activities!$E41&lt;&gt;"",ISNUMBER(SEARCH(",4,",","&amp;Activities!$E41&amp;",")),AND(Activities!$C41&lt;=4,Activities!$D41&gt;=4))),IF(Activities!$H41="Coaches","🌱 ",IF(Activities!$H41="Coordinators","⚙️ ",IF(Activities!$H41="Both","👥 ","")))&amp;Activities!$B41&amp;CHAR(10)&amp;REPT("●",Activities!$F41),"")</f>
        <v>⚙️ MiSiS/WBL data systems, reporting, compliance &amp; training
●●</v>
      </c>
      <c r="G41" s="7" t="str">
        <f>IF(AND(Activities!$A41&lt;&gt;"",IF(Activities!$E41&lt;&gt;"",ISNUMBER(SEARCH(",5,",","&amp;Activities!$E41&amp;",")),AND(Activities!$C41&lt;=5,Activities!$D41&gt;=5))),IF(Activities!$H41="Coaches","🌱 ",IF(Activities!$H41="Coordinators","⚙️ ",IF(Activities!$H41="Both","👥 ","")))&amp;Activities!$B41&amp;CHAR(10)&amp;REPT("●",Activities!$F41),"")</f>
        <v>⚙️ MiSiS/WBL data systems, reporting, compliance &amp; training
●●</v>
      </c>
      <c r="H41" s="7" t="str">
        <f>IF(AND(Activities!$A41&lt;&gt;"",IF(Activities!$E41&lt;&gt;"",ISNUMBER(SEARCH(",6,",","&amp;Activities!$E41&amp;",")),AND(Activities!$C41&lt;=6,Activities!$D41&gt;=6))),IF(Activities!$H41="Coaches","🌱 ",IF(Activities!$H41="Coordinators","⚙️ ",IF(Activities!$H41="Both","👥 ","")))&amp;Activities!$B41&amp;CHAR(10)&amp;REPT("●",Activities!$F41),"")</f>
        <v>⚙️ MiSiS/WBL data systems, reporting, compliance &amp; training
●●</v>
      </c>
      <c r="I41" s="7" t="str">
        <f>IF(AND(Activities!$A41&lt;&gt;"",IF(Activities!$E41&lt;&gt;"",ISNUMBER(SEARCH(",7,",","&amp;Activities!$E41&amp;",")),AND(Activities!$C41&lt;=7,Activities!$D41&gt;=7))),IF(Activities!$H41="Coaches","🌱 ",IF(Activities!$H41="Coordinators","⚙️ ",IF(Activities!$H41="Both","👥 ","")))&amp;Activities!$B41&amp;CHAR(10)&amp;REPT("●",Activities!$F41),"")</f>
        <v>⚙️ MiSiS/WBL data systems, reporting, compliance &amp; training
●●</v>
      </c>
      <c r="J41" s="7" t="str">
        <f>IF(AND(Activities!$A41&lt;&gt;"",IF(Activities!$E41&lt;&gt;"",ISNUMBER(SEARCH(",8,",","&amp;Activities!$E41&amp;",")),AND(Activities!$C41&lt;=8,Activities!$D41&gt;=8))),IF(Activities!$H41="Coaches","🌱 ",IF(Activities!$H41="Coordinators","⚙️ ",IF(Activities!$H41="Both","👥 ","")))&amp;Activities!$B41&amp;CHAR(10)&amp;REPT("●",Activities!$F41),"")</f>
        <v>⚙️ MiSiS/WBL data systems, reporting, compliance &amp; training
●●</v>
      </c>
      <c r="K41" s="7" t="str">
        <f>IF(AND(Activities!$A41&lt;&gt;"",IF(Activities!$E41&lt;&gt;"",ISNUMBER(SEARCH(",9,",","&amp;Activities!$E41&amp;",")),AND(Activities!$C41&lt;=9,Activities!$D41&gt;=9))),IF(Activities!$H41="Coaches","🌱 ",IF(Activities!$H41="Coordinators","⚙️ ",IF(Activities!$H41="Both","👥 ","")))&amp;Activities!$B41&amp;CHAR(10)&amp;REPT("●",Activities!$F41),"")</f>
        <v>⚙️ MiSiS/WBL data systems, reporting, compliance &amp; training
●●</v>
      </c>
      <c r="L41" s="7" t="str">
        <f>IF(AND(Activities!$A41&lt;&gt;"",IF(Activities!$E41&lt;&gt;"",ISNUMBER(SEARCH(",10,",","&amp;Activities!$E41&amp;",")),AND(Activities!$C41&lt;=10,Activities!$D41&gt;=10))),IF(Activities!$H41="Coaches","🌱 ",IF(Activities!$H41="Coordinators","⚙️ ",IF(Activities!$H41="Both","👥 ","")))&amp;Activities!$B41&amp;CHAR(10)&amp;REPT("●",Activities!$F41),"")</f>
        <v>⚙️ MiSiS/WBL data systems, reporting, compliance &amp; training
●●</v>
      </c>
      <c r="M41" s="7" t="str">
        <f>IF(AND(Activities!$A41&lt;&gt;"",IF(Activities!$E41&lt;&gt;"",ISNUMBER(SEARCH(",11,",","&amp;Activities!$E41&amp;",")),AND(Activities!$C41&lt;=11,Activities!$D41&gt;=11))),IF(Activities!$H41="Coaches","🌱 ",IF(Activities!$H41="Coordinators","⚙️ ",IF(Activities!$H41="Both","👥 ","")))&amp;Activities!$B41&amp;CHAR(10)&amp;REPT("●",Activities!$F41),"")</f>
        <v>⚙️ MiSiS/WBL data systems, reporting, compliance &amp; training
●●</v>
      </c>
      <c r="N41" s="7" t="str">
        <f>IF(AND(Activities!$A41&lt;&gt;"",IF(Activities!$E41&lt;&gt;"",ISNUMBER(SEARCH(",12,",","&amp;Activities!$E41&amp;",")),AND(Activities!$C41&lt;=12,Activities!$D41&gt;=12))),IF(Activities!$H41="Coaches","🌱 ",IF(Activities!$H41="Coordinators","⚙️ ",IF(Activities!$H41="Both","👥 ","")))&amp;Activities!$B41&amp;CHAR(10)&amp;REPT("●",Activities!$F41),"")</f>
        <v>⚙️ MiSiS/WBL data systems, reporting, compliance &amp; training
●●</v>
      </c>
    </row>
    <row r="42" spans="1:14" s="8" customFormat="1" ht="60">
      <c r="A42" s="14" t="str">
        <f>IF(Activities!$A42&lt;&gt;"",Activities!$A42,"")</f>
        <v>WBL Operations, Logistics &amp; Reporting</v>
      </c>
      <c r="B42" s="7" t="str">
        <f>IF(Activities!$B42&lt;&gt;"",Activities!$B42,"")</f>
        <v>Summer Bridge program support</v>
      </c>
      <c r="C42" s="7" t="str">
        <f>IF(AND(Activities!$A42&lt;&gt;"",IF(Activities!$E42&lt;&gt;"",ISNUMBER(SEARCH(",1,",","&amp;Activities!$E42&amp;",")),AND(Activities!$C42&lt;=1,Activities!$D42&gt;=1))),IF(Activities!$H42="Coaches","🌱 ",IF(Activities!$H42="Coordinators","⚙️ ",IF(Activities!$H42="Both","👥 ","")))&amp;Activities!$B42&amp;CHAR(10)&amp;REPT("●",Activities!$F42),"")</f>
        <v/>
      </c>
      <c r="D42" s="7" t="str">
        <f>IF(AND(Activities!$A42&lt;&gt;"",IF(Activities!$E42&lt;&gt;"",ISNUMBER(SEARCH(",2,",","&amp;Activities!$E42&amp;",")),AND(Activities!$C42&lt;=2,Activities!$D42&gt;=2))),IF(Activities!$H42="Coaches","🌱 ",IF(Activities!$H42="Coordinators","⚙️ ",IF(Activities!$H42="Both","👥 ","")))&amp;Activities!$B42&amp;CHAR(10)&amp;REPT("●",Activities!$F42),"")</f>
        <v/>
      </c>
      <c r="E42" s="7" t="str">
        <f>IF(AND(Activities!$A42&lt;&gt;"",IF(Activities!$E42&lt;&gt;"",ISNUMBER(SEARCH(",3,",","&amp;Activities!$E42&amp;",")),AND(Activities!$C42&lt;=3,Activities!$D42&gt;=3))),IF(Activities!$H42="Coaches","🌱 ",IF(Activities!$H42="Coordinators","⚙️ ",IF(Activities!$H42="Both","👥 ","")))&amp;Activities!$B42&amp;CHAR(10)&amp;REPT("●",Activities!$F42),"")</f>
        <v/>
      </c>
      <c r="F42" s="7" t="str">
        <f>IF(AND(Activities!$A42&lt;&gt;"",IF(Activities!$E42&lt;&gt;"",ISNUMBER(SEARCH(",4,",","&amp;Activities!$E42&amp;",")),AND(Activities!$C42&lt;=4,Activities!$D42&gt;=4))),IF(Activities!$H42="Coaches","🌱 ",IF(Activities!$H42="Coordinators","⚙️ ",IF(Activities!$H42="Both","👥 ","")))&amp;Activities!$B42&amp;CHAR(10)&amp;REPT("●",Activities!$F42),"")</f>
        <v/>
      </c>
      <c r="G42" s="7" t="str">
        <f>IF(AND(Activities!$A42&lt;&gt;"",IF(Activities!$E42&lt;&gt;"",ISNUMBER(SEARCH(",5,",","&amp;Activities!$E42&amp;",")),AND(Activities!$C42&lt;=5,Activities!$D42&gt;=5))),IF(Activities!$H42="Coaches","🌱 ",IF(Activities!$H42="Coordinators","⚙️ ",IF(Activities!$H42="Both","👥 ","")))&amp;Activities!$B42&amp;CHAR(10)&amp;REPT("●",Activities!$F42),"")</f>
        <v/>
      </c>
      <c r="H42" s="7" t="str">
        <f>IF(AND(Activities!$A42&lt;&gt;"",IF(Activities!$E42&lt;&gt;"",ISNUMBER(SEARCH(",6,",","&amp;Activities!$E42&amp;",")),AND(Activities!$C42&lt;=6,Activities!$D42&gt;=6))),IF(Activities!$H42="Coaches","🌱 ",IF(Activities!$H42="Coordinators","⚙️ ",IF(Activities!$H42="Both","👥 ","")))&amp;Activities!$B42&amp;CHAR(10)&amp;REPT("●",Activities!$F42),"")</f>
        <v/>
      </c>
      <c r="I42" s="7" t="str">
        <f>IF(AND(Activities!$A42&lt;&gt;"",IF(Activities!$E42&lt;&gt;"",ISNUMBER(SEARCH(",7,",","&amp;Activities!$E42&amp;",")),AND(Activities!$C42&lt;=7,Activities!$D42&gt;=7))),IF(Activities!$H42="Coaches","🌱 ",IF(Activities!$H42="Coordinators","⚙️ ",IF(Activities!$H42="Both","👥 ","")))&amp;Activities!$B42&amp;CHAR(10)&amp;REPT("●",Activities!$F42),"")</f>
        <v/>
      </c>
      <c r="J42" s="7" t="str">
        <f>IF(AND(Activities!$A42&lt;&gt;"",IF(Activities!$E42&lt;&gt;"",ISNUMBER(SEARCH(",8,",","&amp;Activities!$E42&amp;",")),AND(Activities!$C42&lt;=8,Activities!$D42&gt;=8))),IF(Activities!$H42="Coaches","🌱 ",IF(Activities!$H42="Coordinators","⚙️ ",IF(Activities!$H42="Both","👥 ","")))&amp;Activities!$B42&amp;CHAR(10)&amp;REPT("●",Activities!$F42),"")</f>
        <v/>
      </c>
      <c r="K42" s="7" t="str">
        <f>IF(AND(Activities!$A42&lt;&gt;"",IF(Activities!$E42&lt;&gt;"",ISNUMBER(SEARCH(",9,",","&amp;Activities!$E42&amp;",")),AND(Activities!$C42&lt;=9,Activities!$D42&gt;=9))),IF(Activities!$H42="Coaches","🌱 ",IF(Activities!$H42="Coordinators","⚙️ ",IF(Activities!$H42="Both","👥 ","")))&amp;Activities!$B42&amp;CHAR(10)&amp;REPT("●",Activities!$F42),"")</f>
        <v/>
      </c>
      <c r="L42" s="7" t="str">
        <f>IF(AND(Activities!$A42&lt;&gt;"",IF(Activities!$E42&lt;&gt;"",ISNUMBER(SEARCH(",10,",","&amp;Activities!$E42&amp;",")),AND(Activities!$C42&lt;=10,Activities!$D42&gt;=10))),IF(Activities!$H42="Coaches","🌱 ",IF(Activities!$H42="Coordinators","⚙️ ",IF(Activities!$H42="Both","👥 ","")))&amp;Activities!$B42&amp;CHAR(10)&amp;REPT("●",Activities!$F42),"")</f>
        <v/>
      </c>
      <c r="M42" s="7" t="str">
        <f>IF(AND(Activities!$A42&lt;&gt;"",IF(Activities!$E42&lt;&gt;"",ISNUMBER(SEARCH(",11,",","&amp;Activities!$E42&amp;",")),AND(Activities!$C42&lt;=11,Activities!$D42&gt;=11))),IF(Activities!$H42="Coaches","🌱 ",IF(Activities!$H42="Coordinators","⚙️ ",IF(Activities!$H42="Both","👥 ","")))&amp;Activities!$B42&amp;CHAR(10)&amp;REPT("●",Activities!$F42),"")</f>
        <v/>
      </c>
      <c r="N42" s="7" t="str">
        <f>IF(AND(Activities!$A42&lt;&gt;"",IF(Activities!$E42&lt;&gt;"",ISNUMBER(SEARCH(",12,",","&amp;Activities!$E42&amp;",")),AND(Activities!$C42&lt;=12,Activities!$D42&gt;=12))),IF(Activities!$H42="Coaches","🌱 ",IF(Activities!$H42="Coordinators","⚙️ ",IF(Activities!$H42="Both","👥 ","")))&amp;Activities!$B42&amp;CHAR(10)&amp;REPT("●",Activities!$F42),"")</f>
        <v/>
      </c>
    </row>
    <row r="43" spans="1:14" s="8" customFormat="1" ht="20">
      <c r="A43" s="14" t="str">
        <f>IF(Activities!$A43&lt;&gt;"",Activities!$A43,"")</f>
        <v/>
      </c>
      <c r="B43" s="7" t="str">
        <f>IF(Activities!$B43&lt;&gt;"",Activities!$B43,"")</f>
        <v/>
      </c>
      <c r="C43" s="7" t="str">
        <f>IF(AND(Activities!$A43&lt;&gt;"",IF(Activities!$E43&lt;&gt;"",ISNUMBER(SEARCH(",1,",","&amp;Activities!$E43&amp;",")),AND(Activities!$C43&lt;=1,Activities!$D43&gt;=1))),IF(Activities!$H43="Coaches","🌱 ",IF(Activities!$H43="Coordinators","⚙️ ",IF(Activities!$H43="Both","👥 ","")))&amp;Activities!$B43&amp;CHAR(10)&amp;REPT("●",Activities!$F43),"")</f>
        <v/>
      </c>
      <c r="D43" s="7" t="str">
        <f>IF(AND(Activities!$A43&lt;&gt;"",IF(Activities!$E43&lt;&gt;"",ISNUMBER(SEARCH(",2,",","&amp;Activities!$E43&amp;",")),AND(Activities!$C43&lt;=2,Activities!$D43&gt;=2))),IF(Activities!$H43="Coaches","🌱 ",IF(Activities!$H43="Coordinators","⚙️ ",IF(Activities!$H43="Both","👥 ","")))&amp;Activities!$B43&amp;CHAR(10)&amp;REPT("●",Activities!$F43),"")</f>
        <v/>
      </c>
      <c r="E43" s="7" t="str">
        <f>IF(AND(Activities!$A43&lt;&gt;"",IF(Activities!$E43&lt;&gt;"",ISNUMBER(SEARCH(",3,",","&amp;Activities!$E43&amp;",")),AND(Activities!$C43&lt;=3,Activities!$D43&gt;=3))),IF(Activities!$H43="Coaches","🌱 ",IF(Activities!$H43="Coordinators","⚙️ ",IF(Activities!$H43="Both","👥 ","")))&amp;Activities!$B43&amp;CHAR(10)&amp;REPT("●",Activities!$F43),"")</f>
        <v/>
      </c>
      <c r="F43" s="7" t="str">
        <f>IF(AND(Activities!$A43&lt;&gt;"",IF(Activities!$E43&lt;&gt;"",ISNUMBER(SEARCH(",4,",","&amp;Activities!$E43&amp;",")),AND(Activities!$C43&lt;=4,Activities!$D43&gt;=4))),IF(Activities!$H43="Coaches","🌱 ",IF(Activities!$H43="Coordinators","⚙️ ",IF(Activities!$H43="Both","👥 ","")))&amp;Activities!$B43&amp;CHAR(10)&amp;REPT("●",Activities!$F43),"")</f>
        <v/>
      </c>
      <c r="G43" s="7" t="str">
        <f>IF(AND(Activities!$A43&lt;&gt;"",IF(Activities!$E43&lt;&gt;"",ISNUMBER(SEARCH(",5,",","&amp;Activities!$E43&amp;",")),AND(Activities!$C43&lt;=5,Activities!$D43&gt;=5))),IF(Activities!$H43="Coaches","🌱 ",IF(Activities!$H43="Coordinators","⚙️ ",IF(Activities!$H43="Both","👥 ","")))&amp;Activities!$B43&amp;CHAR(10)&amp;REPT("●",Activities!$F43),"")</f>
        <v/>
      </c>
      <c r="H43" s="7" t="str">
        <f>IF(AND(Activities!$A43&lt;&gt;"",IF(Activities!$E43&lt;&gt;"",ISNUMBER(SEARCH(",6,",","&amp;Activities!$E43&amp;",")),AND(Activities!$C43&lt;=6,Activities!$D43&gt;=6))),IF(Activities!$H43="Coaches","🌱 ",IF(Activities!$H43="Coordinators","⚙️ ",IF(Activities!$H43="Both","👥 ","")))&amp;Activities!$B43&amp;CHAR(10)&amp;REPT("●",Activities!$F43),"")</f>
        <v/>
      </c>
      <c r="I43" s="7" t="str">
        <f>IF(AND(Activities!$A43&lt;&gt;"",IF(Activities!$E43&lt;&gt;"",ISNUMBER(SEARCH(",7,",","&amp;Activities!$E43&amp;",")),AND(Activities!$C43&lt;=7,Activities!$D43&gt;=7))),IF(Activities!$H43="Coaches","🌱 ",IF(Activities!$H43="Coordinators","⚙️ ",IF(Activities!$H43="Both","👥 ","")))&amp;Activities!$B43&amp;CHAR(10)&amp;REPT("●",Activities!$F43),"")</f>
        <v/>
      </c>
      <c r="J43" s="7" t="str">
        <f>IF(AND(Activities!$A43&lt;&gt;"",IF(Activities!$E43&lt;&gt;"",ISNUMBER(SEARCH(",8,",","&amp;Activities!$E43&amp;",")),AND(Activities!$C43&lt;=8,Activities!$D43&gt;=8))),IF(Activities!$H43="Coaches","🌱 ",IF(Activities!$H43="Coordinators","⚙️ ",IF(Activities!$H43="Both","👥 ","")))&amp;Activities!$B43&amp;CHAR(10)&amp;REPT("●",Activities!$F43),"")</f>
        <v/>
      </c>
      <c r="K43" s="7" t="str">
        <f>IF(AND(Activities!$A43&lt;&gt;"",IF(Activities!$E43&lt;&gt;"",ISNUMBER(SEARCH(",9,",","&amp;Activities!$E43&amp;",")),AND(Activities!$C43&lt;=9,Activities!$D43&gt;=9))),IF(Activities!$H43="Coaches","🌱 ",IF(Activities!$H43="Coordinators","⚙️ ",IF(Activities!$H43="Both","👥 ","")))&amp;Activities!$B43&amp;CHAR(10)&amp;REPT("●",Activities!$F43),"")</f>
        <v/>
      </c>
      <c r="L43" s="7" t="str">
        <f>IF(AND(Activities!$A43&lt;&gt;"",IF(Activities!$E43&lt;&gt;"",ISNUMBER(SEARCH(",10,",","&amp;Activities!$E43&amp;",")),AND(Activities!$C43&lt;=10,Activities!$D43&gt;=10))),IF(Activities!$H43="Coaches","🌱 ",IF(Activities!$H43="Coordinators","⚙️ ",IF(Activities!$H43="Both","👥 ","")))&amp;Activities!$B43&amp;CHAR(10)&amp;REPT("●",Activities!$F43),"")</f>
        <v/>
      </c>
      <c r="M43" s="7" t="str">
        <f>IF(AND(Activities!$A43&lt;&gt;"",IF(Activities!$E43&lt;&gt;"",ISNUMBER(SEARCH(",11,",","&amp;Activities!$E43&amp;",")),AND(Activities!$C43&lt;=11,Activities!$D43&gt;=11))),IF(Activities!$H43="Coaches","🌱 ",IF(Activities!$H43="Coordinators","⚙️ ",IF(Activities!$H43="Both","👥 ","")))&amp;Activities!$B43&amp;CHAR(10)&amp;REPT("●",Activities!$F43),"")</f>
        <v/>
      </c>
      <c r="N43" s="7" t="str">
        <f>IF(AND(Activities!$A43&lt;&gt;"",IF(Activities!$E43&lt;&gt;"",ISNUMBER(SEARCH(",12,",","&amp;Activities!$E43&amp;",")),AND(Activities!$C43&lt;=12,Activities!$D43&gt;=12))),IF(Activities!$H43="Coaches","🌱 ",IF(Activities!$H43="Coordinators","⚙️ ",IF(Activities!$H43="Both","👥 ","")))&amp;Activities!$B43&amp;CHAR(10)&amp;REPT("●",Activities!$F43),"")</f>
        <v/>
      </c>
    </row>
    <row r="44" spans="1:14" s="8" customFormat="1" ht="20">
      <c r="A44" s="14" t="str">
        <f>IF(Activities!$A44&lt;&gt;"",Activities!$A44,"")</f>
        <v/>
      </c>
      <c r="B44" s="7" t="str">
        <f>IF(Activities!$B44&lt;&gt;"",Activities!$B44,"")</f>
        <v/>
      </c>
      <c r="C44" s="7" t="str">
        <f>IF(AND(Activities!$A44&lt;&gt;"",IF(Activities!$E44&lt;&gt;"",ISNUMBER(SEARCH(",1,",","&amp;Activities!$E44&amp;",")),AND(Activities!$C44&lt;=1,Activities!$D44&gt;=1))),IF(Activities!$H44="Coaches","🌱 ",IF(Activities!$H44="Coordinators","⚙️ ",IF(Activities!$H44="Both","👥 ","")))&amp;Activities!$B44&amp;CHAR(10)&amp;REPT("●",Activities!$F44),"")</f>
        <v/>
      </c>
      <c r="D44" s="7" t="str">
        <f>IF(AND(Activities!$A44&lt;&gt;"",IF(Activities!$E44&lt;&gt;"",ISNUMBER(SEARCH(",2,",","&amp;Activities!$E44&amp;",")),AND(Activities!$C44&lt;=2,Activities!$D44&gt;=2))),IF(Activities!$H44="Coaches","🌱 ",IF(Activities!$H44="Coordinators","⚙️ ",IF(Activities!$H44="Both","👥 ","")))&amp;Activities!$B44&amp;CHAR(10)&amp;REPT("●",Activities!$F44),"")</f>
        <v/>
      </c>
      <c r="E44" s="7" t="str">
        <f>IF(AND(Activities!$A44&lt;&gt;"",IF(Activities!$E44&lt;&gt;"",ISNUMBER(SEARCH(",3,",","&amp;Activities!$E44&amp;",")),AND(Activities!$C44&lt;=3,Activities!$D44&gt;=3))),IF(Activities!$H44="Coaches","🌱 ",IF(Activities!$H44="Coordinators","⚙️ ",IF(Activities!$H44="Both","👥 ","")))&amp;Activities!$B44&amp;CHAR(10)&amp;REPT("●",Activities!$F44),"")</f>
        <v/>
      </c>
      <c r="F44" s="7" t="str">
        <f>IF(AND(Activities!$A44&lt;&gt;"",IF(Activities!$E44&lt;&gt;"",ISNUMBER(SEARCH(",4,",","&amp;Activities!$E44&amp;",")),AND(Activities!$C44&lt;=4,Activities!$D44&gt;=4))),IF(Activities!$H44="Coaches","🌱 ",IF(Activities!$H44="Coordinators","⚙️ ",IF(Activities!$H44="Both","👥 ","")))&amp;Activities!$B44&amp;CHAR(10)&amp;REPT("●",Activities!$F44),"")</f>
        <v/>
      </c>
      <c r="G44" s="7" t="str">
        <f>IF(AND(Activities!$A44&lt;&gt;"",IF(Activities!$E44&lt;&gt;"",ISNUMBER(SEARCH(",5,",","&amp;Activities!$E44&amp;",")),AND(Activities!$C44&lt;=5,Activities!$D44&gt;=5))),IF(Activities!$H44="Coaches","🌱 ",IF(Activities!$H44="Coordinators","⚙️ ",IF(Activities!$H44="Both","👥 ","")))&amp;Activities!$B44&amp;CHAR(10)&amp;REPT("●",Activities!$F44),"")</f>
        <v/>
      </c>
      <c r="H44" s="7" t="str">
        <f>IF(AND(Activities!$A44&lt;&gt;"",IF(Activities!$E44&lt;&gt;"",ISNUMBER(SEARCH(",6,",","&amp;Activities!$E44&amp;",")),AND(Activities!$C44&lt;=6,Activities!$D44&gt;=6))),IF(Activities!$H44="Coaches","🌱 ",IF(Activities!$H44="Coordinators","⚙️ ",IF(Activities!$H44="Both","👥 ","")))&amp;Activities!$B44&amp;CHAR(10)&amp;REPT("●",Activities!$F44),"")</f>
        <v/>
      </c>
      <c r="I44" s="7" t="str">
        <f>IF(AND(Activities!$A44&lt;&gt;"",IF(Activities!$E44&lt;&gt;"",ISNUMBER(SEARCH(",7,",","&amp;Activities!$E44&amp;",")),AND(Activities!$C44&lt;=7,Activities!$D44&gt;=7))),IF(Activities!$H44="Coaches","🌱 ",IF(Activities!$H44="Coordinators","⚙️ ",IF(Activities!$H44="Both","👥 ","")))&amp;Activities!$B44&amp;CHAR(10)&amp;REPT("●",Activities!$F44),"")</f>
        <v/>
      </c>
      <c r="J44" s="7" t="str">
        <f>IF(AND(Activities!$A44&lt;&gt;"",IF(Activities!$E44&lt;&gt;"",ISNUMBER(SEARCH(",8,",","&amp;Activities!$E44&amp;",")),AND(Activities!$C44&lt;=8,Activities!$D44&gt;=8))),IF(Activities!$H44="Coaches","🌱 ",IF(Activities!$H44="Coordinators","⚙️ ",IF(Activities!$H44="Both","👥 ","")))&amp;Activities!$B44&amp;CHAR(10)&amp;REPT("●",Activities!$F44),"")</f>
        <v/>
      </c>
      <c r="K44" s="7" t="str">
        <f>IF(AND(Activities!$A44&lt;&gt;"",IF(Activities!$E44&lt;&gt;"",ISNUMBER(SEARCH(",9,",","&amp;Activities!$E44&amp;",")),AND(Activities!$C44&lt;=9,Activities!$D44&gt;=9))),IF(Activities!$H44="Coaches","🌱 ",IF(Activities!$H44="Coordinators","⚙️ ",IF(Activities!$H44="Both","👥 ","")))&amp;Activities!$B44&amp;CHAR(10)&amp;REPT("●",Activities!$F44),"")</f>
        <v/>
      </c>
      <c r="L44" s="7" t="str">
        <f>IF(AND(Activities!$A44&lt;&gt;"",IF(Activities!$E44&lt;&gt;"",ISNUMBER(SEARCH(",10,",","&amp;Activities!$E44&amp;",")),AND(Activities!$C44&lt;=10,Activities!$D44&gt;=10))),IF(Activities!$H44="Coaches","🌱 ",IF(Activities!$H44="Coordinators","⚙️ ",IF(Activities!$H44="Both","👥 ","")))&amp;Activities!$B44&amp;CHAR(10)&amp;REPT("●",Activities!$F44),"")</f>
        <v/>
      </c>
      <c r="M44" s="7" t="str">
        <f>IF(AND(Activities!$A44&lt;&gt;"",IF(Activities!$E44&lt;&gt;"",ISNUMBER(SEARCH(",11,",","&amp;Activities!$E44&amp;",")),AND(Activities!$C44&lt;=11,Activities!$D44&gt;=11))),IF(Activities!$H44="Coaches","🌱 ",IF(Activities!$H44="Coordinators","⚙️ ",IF(Activities!$H44="Both","👥 ","")))&amp;Activities!$B44&amp;CHAR(10)&amp;REPT("●",Activities!$F44),"")</f>
        <v/>
      </c>
      <c r="N44" s="7" t="str">
        <f>IF(AND(Activities!$A44&lt;&gt;"",IF(Activities!$E44&lt;&gt;"",ISNUMBER(SEARCH(",12,",","&amp;Activities!$E44&amp;",")),AND(Activities!$C44&lt;=12,Activities!$D44&gt;=12))),IF(Activities!$H44="Coaches","🌱 ",IF(Activities!$H44="Coordinators","⚙️ ",IF(Activities!$H44="Both","👥 ","")))&amp;Activities!$B44&amp;CHAR(10)&amp;REPT("●",Activities!$F44),"")</f>
        <v/>
      </c>
    </row>
    <row r="45" spans="1:14" s="8" customFormat="1" ht="20">
      <c r="A45" s="14" t="str">
        <f>IF(Activities!$A45&lt;&gt;"",Activities!$A45,"")</f>
        <v/>
      </c>
      <c r="B45" s="7" t="str">
        <f>IF(Activities!$B45&lt;&gt;"",Activities!$B45,"")</f>
        <v/>
      </c>
      <c r="C45" s="7" t="str">
        <f>IF(AND(Activities!$A45&lt;&gt;"",IF(Activities!$E45&lt;&gt;"",ISNUMBER(SEARCH(",1,",","&amp;Activities!$E45&amp;",")),AND(Activities!$C45&lt;=1,Activities!$D45&gt;=1))),IF(Activities!$H45="Coaches","🌱 ",IF(Activities!$H45="Coordinators","⚙️ ",IF(Activities!$H45="Both","👥 ","")))&amp;Activities!$B45&amp;CHAR(10)&amp;REPT("●",Activities!$F45),"")</f>
        <v/>
      </c>
      <c r="D45" s="7" t="str">
        <f>IF(AND(Activities!$A45&lt;&gt;"",IF(Activities!$E45&lt;&gt;"",ISNUMBER(SEARCH(",2,",","&amp;Activities!$E45&amp;",")),AND(Activities!$C45&lt;=2,Activities!$D45&gt;=2))),IF(Activities!$H45="Coaches","🌱 ",IF(Activities!$H45="Coordinators","⚙️ ",IF(Activities!$H45="Both","👥 ","")))&amp;Activities!$B45&amp;CHAR(10)&amp;REPT("●",Activities!$F45),"")</f>
        <v/>
      </c>
      <c r="E45" s="7" t="str">
        <f>IF(AND(Activities!$A45&lt;&gt;"",IF(Activities!$E45&lt;&gt;"",ISNUMBER(SEARCH(",3,",","&amp;Activities!$E45&amp;",")),AND(Activities!$C45&lt;=3,Activities!$D45&gt;=3))),IF(Activities!$H45="Coaches","🌱 ",IF(Activities!$H45="Coordinators","⚙️ ",IF(Activities!$H45="Both","👥 ","")))&amp;Activities!$B45&amp;CHAR(10)&amp;REPT("●",Activities!$F45),"")</f>
        <v/>
      </c>
      <c r="F45" s="7" t="str">
        <f>IF(AND(Activities!$A45&lt;&gt;"",IF(Activities!$E45&lt;&gt;"",ISNUMBER(SEARCH(",4,",","&amp;Activities!$E45&amp;",")),AND(Activities!$C45&lt;=4,Activities!$D45&gt;=4))),IF(Activities!$H45="Coaches","🌱 ",IF(Activities!$H45="Coordinators","⚙️ ",IF(Activities!$H45="Both","👥 ","")))&amp;Activities!$B45&amp;CHAR(10)&amp;REPT("●",Activities!$F45),"")</f>
        <v/>
      </c>
      <c r="G45" s="7" t="str">
        <f>IF(AND(Activities!$A45&lt;&gt;"",IF(Activities!$E45&lt;&gt;"",ISNUMBER(SEARCH(",5,",","&amp;Activities!$E45&amp;",")),AND(Activities!$C45&lt;=5,Activities!$D45&gt;=5))),IF(Activities!$H45="Coaches","🌱 ",IF(Activities!$H45="Coordinators","⚙️ ",IF(Activities!$H45="Both","👥 ","")))&amp;Activities!$B45&amp;CHAR(10)&amp;REPT("●",Activities!$F45),"")</f>
        <v/>
      </c>
      <c r="H45" s="7" t="str">
        <f>IF(AND(Activities!$A45&lt;&gt;"",IF(Activities!$E45&lt;&gt;"",ISNUMBER(SEARCH(",6,",","&amp;Activities!$E45&amp;",")),AND(Activities!$C45&lt;=6,Activities!$D45&gt;=6))),IF(Activities!$H45="Coaches","🌱 ",IF(Activities!$H45="Coordinators","⚙️ ",IF(Activities!$H45="Both","👥 ","")))&amp;Activities!$B45&amp;CHAR(10)&amp;REPT("●",Activities!$F45),"")</f>
        <v/>
      </c>
      <c r="I45" s="7" t="str">
        <f>IF(AND(Activities!$A45&lt;&gt;"",IF(Activities!$E45&lt;&gt;"",ISNUMBER(SEARCH(",7,",","&amp;Activities!$E45&amp;",")),AND(Activities!$C45&lt;=7,Activities!$D45&gt;=7))),IF(Activities!$H45="Coaches","🌱 ",IF(Activities!$H45="Coordinators","⚙️ ",IF(Activities!$H45="Both","👥 ","")))&amp;Activities!$B45&amp;CHAR(10)&amp;REPT("●",Activities!$F45),"")</f>
        <v/>
      </c>
      <c r="J45" s="7" t="str">
        <f>IF(AND(Activities!$A45&lt;&gt;"",IF(Activities!$E45&lt;&gt;"",ISNUMBER(SEARCH(",8,",","&amp;Activities!$E45&amp;",")),AND(Activities!$C45&lt;=8,Activities!$D45&gt;=8))),IF(Activities!$H45="Coaches","🌱 ",IF(Activities!$H45="Coordinators","⚙️ ",IF(Activities!$H45="Both","👥 ","")))&amp;Activities!$B45&amp;CHAR(10)&amp;REPT("●",Activities!$F45),"")</f>
        <v/>
      </c>
      <c r="K45" s="7" t="str">
        <f>IF(AND(Activities!$A45&lt;&gt;"",IF(Activities!$E45&lt;&gt;"",ISNUMBER(SEARCH(",9,",","&amp;Activities!$E45&amp;",")),AND(Activities!$C45&lt;=9,Activities!$D45&gt;=9))),IF(Activities!$H45="Coaches","🌱 ",IF(Activities!$H45="Coordinators","⚙️ ",IF(Activities!$H45="Both","👥 ","")))&amp;Activities!$B45&amp;CHAR(10)&amp;REPT("●",Activities!$F45),"")</f>
        <v/>
      </c>
      <c r="L45" s="7" t="str">
        <f>IF(AND(Activities!$A45&lt;&gt;"",IF(Activities!$E45&lt;&gt;"",ISNUMBER(SEARCH(",10,",","&amp;Activities!$E45&amp;",")),AND(Activities!$C45&lt;=10,Activities!$D45&gt;=10))),IF(Activities!$H45="Coaches","🌱 ",IF(Activities!$H45="Coordinators","⚙️ ",IF(Activities!$H45="Both","👥 ","")))&amp;Activities!$B45&amp;CHAR(10)&amp;REPT("●",Activities!$F45),"")</f>
        <v/>
      </c>
      <c r="M45" s="7" t="str">
        <f>IF(AND(Activities!$A45&lt;&gt;"",IF(Activities!$E45&lt;&gt;"",ISNUMBER(SEARCH(",11,",","&amp;Activities!$E45&amp;",")),AND(Activities!$C45&lt;=11,Activities!$D45&gt;=11))),IF(Activities!$H45="Coaches","🌱 ",IF(Activities!$H45="Coordinators","⚙️ ",IF(Activities!$H45="Both","👥 ","")))&amp;Activities!$B45&amp;CHAR(10)&amp;REPT("●",Activities!$F45),"")</f>
        <v/>
      </c>
      <c r="N45" s="7" t="str">
        <f>IF(AND(Activities!$A45&lt;&gt;"",IF(Activities!$E45&lt;&gt;"",ISNUMBER(SEARCH(",12,",","&amp;Activities!$E45&amp;",")),AND(Activities!$C45&lt;=12,Activities!$D45&gt;=12))),IF(Activities!$H45="Coaches","🌱 ",IF(Activities!$H45="Coordinators","⚙️ ",IF(Activities!$H45="Both","👥 ","")))&amp;Activities!$B45&amp;CHAR(10)&amp;REPT("●",Activities!$F45),"")</f>
        <v/>
      </c>
    </row>
    <row r="46" spans="1:14" s="8" customFormat="1" ht="20">
      <c r="A46" s="14" t="str">
        <f>IF(Activities!$A46&lt;&gt;"",Activities!$A46,"")</f>
        <v/>
      </c>
      <c r="B46" s="7" t="str">
        <f>IF(Activities!$B46&lt;&gt;"",Activities!$B46,"")</f>
        <v/>
      </c>
      <c r="C46" s="7" t="str">
        <f>IF(AND(Activities!$A46&lt;&gt;"",IF(Activities!$E46&lt;&gt;"",ISNUMBER(SEARCH(",1,",","&amp;Activities!$E46&amp;",")),AND(Activities!$C46&lt;=1,Activities!$D46&gt;=1))),IF(Activities!$H46="Coaches","🌱 ",IF(Activities!$H46="Coordinators","⚙️ ",IF(Activities!$H46="Both","👥 ","")))&amp;Activities!$B46&amp;CHAR(10)&amp;REPT("●",Activities!$F46),"")</f>
        <v/>
      </c>
      <c r="D46" s="7" t="str">
        <f>IF(AND(Activities!$A46&lt;&gt;"",IF(Activities!$E46&lt;&gt;"",ISNUMBER(SEARCH(",2,",","&amp;Activities!$E46&amp;",")),AND(Activities!$C46&lt;=2,Activities!$D46&gt;=2))),IF(Activities!$H46="Coaches","🌱 ",IF(Activities!$H46="Coordinators","⚙️ ",IF(Activities!$H46="Both","👥 ","")))&amp;Activities!$B46&amp;CHAR(10)&amp;REPT("●",Activities!$F46),"")</f>
        <v/>
      </c>
      <c r="E46" s="7" t="str">
        <f>IF(AND(Activities!$A46&lt;&gt;"",IF(Activities!$E46&lt;&gt;"",ISNUMBER(SEARCH(",3,",","&amp;Activities!$E46&amp;",")),AND(Activities!$C46&lt;=3,Activities!$D46&gt;=3))),IF(Activities!$H46="Coaches","🌱 ",IF(Activities!$H46="Coordinators","⚙️ ",IF(Activities!$H46="Both","👥 ","")))&amp;Activities!$B46&amp;CHAR(10)&amp;REPT("●",Activities!$F46),"")</f>
        <v/>
      </c>
      <c r="F46" s="7" t="str">
        <f>IF(AND(Activities!$A46&lt;&gt;"",IF(Activities!$E46&lt;&gt;"",ISNUMBER(SEARCH(",4,",","&amp;Activities!$E46&amp;",")),AND(Activities!$C46&lt;=4,Activities!$D46&gt;=4))),IF(Activities!$H46="Coaches","🌱 ",IF(Activities!$H46="Coordinators","⚙️ ",IF(Activities!$H46="Both","👥 ","")))&amp;Activities!$B46&amp;CHAR(10)&amp;REPT("●",Activities!$F46),"")</f>
        <v/>
      </c>
      <c r="G46" s="7" t="str">
        <f>IF(AND(Activities!$A46&lt;&gt;"",IF(Activities!$E46&lt;&gt;"",ISNUMBER(SEARCH(",5,",","&amp;Activities!$E46&amp;",")),AND(Activities!$C46&lt;=5,Activities!$D46&gt;=5))),IF(Activities!$H46="Coaches","🌱 ",IF(Activities!$H46="Coordinators","⚙️ ",IF(Activities!$H46="Both","👥 ","")))&amp;Activities!$B46&amp;CHAR(10)&amp;REPT("●",Activities!$F46),"")</f>
        <v/>
      </c>
      <c r="H46" s="7" t="str">
        <f>IF(AND(Activities!$A46&lt;&gt;"",IF(Activities!$E46&lt;&gt;"",ISNUMBER(SEARCH(",6,",","&amp;Activities!$E46&amp;",")),AND(Activities!$C46&lt;=6,Activities!$D46&gt;=6))),IF(Activities!$H46="Coaches","🌱 ",IF(Activities!$H46="Coordinators","⚙️ ",IF(Activities!$H46="Both","👥 ","")))&amp;Activities!$B46&amp;CHAR(10)&amp;REPT("●",Activities!$F46),"")</f>
        <v/>
      </c>
      <c r="I46" s="7" t="str">
        <f>IF(AND(Activities!$A46&lt;&gt;"",IF(Activities!$E46&lt;&gt;"",ISNUMBER(SEARCH(",7,",","&amp;Activities!$E46&amp;",")),AND(Activities!$C46&lt;=7,Activities!$D46&gt;=7))),IF(Activities!$H46="Coaches","🌱 ",IF(Activities!$H46="Coordinators","⚙️ ",IF(Activities!$H46="Both","👥 ","")))&amp;Activities!$B46&amp;CHAR(10)&amp;REPT("●",Activities!$F46),"")</f>
        <v/>
      </c>
      <c r="J46" s="7" t="str">
        <f>IF(AND(Activities!$A46&lt;&gt;"",IF(Activities!$E46&lt;&gt;"",ISNUMBER(SEARCH(",8,",","&amp;Activities!$E46&amp;",")),AND(Activities!$C46&lt;=8,Activities!$D46&gt;=8))),IF(Activities!$H46="Coaches","🌱 ",IF(Activities!$H46="Coordinators","⚙️ ",IF(Activities!$H46="Both","👥 ","")))&amp;Activities!$B46&amp;CHAR(10)&amp;REPT("●",Activities!$F46),"")</f>
        <v/>
      </c>
      <c r="K46" s="7" t="str">
        <f>IF(AND(Activities!$A46&lt;&gt;"",IF(Activities!$E46&lt;&gt;"",ISNUMBER(SEARCH(",9,",","&amp;Activities!$E46&amp;",")),AND(Activities!$C46&lt;=9,Activities!$D46&gt;=9))),IF(Activities!$H46="Coaches","🌱 ",IF(Activities!$H46="Coordinators","⚙️ ",IF(Activities!$H46="Both","👥 ","")))&amp;Activities!$B46&amp;CHAR(10)&amp;REPT("●",Activities!$F46),"")</f>
        <v/>
      </c>
      <c r="L46" s="7" t="str">
        <f>IF(AND(Activities!$A46&lt;&gt;"",IF(Activities!$E46&lt;&gt;"",ISNUMBER(SEARCH(",10,",","&amp;Activities!$E46&amp;",")),AND(Activities!$C46&lt;=10,Activities!$D46&gt;=10))),IF(Activities!$H46="Coaches","🌱 ",IF(Activities!$H46="Coordinators","⚙️ ",IF(Activities!$H46="Both","👥 ","")))&amp;Activities!$B46&amp;CHAR(10)&amp;REPT("●",Activities!$F46),"")</f>
        <v/>
      </c>
      <c r="M46" s="7" t="str">
        <f>IF(AND(Activities!$A46&lt;&gt;"",IF(Activities!$E46&lt;&gt;"",ISNUMBER(SEARCH(",11,",","&amp;Activities!$E46&amp;",")),AND(Activities!$C46&lt;=11,Activities!$D46&gt;=11))),IF(Activities!$H46="Coaches","🌱 ",IF(Activities!$H46="Coordinators","⚙️ ",IF(Activities!$H46="Both","👥 ","")))&amp;Activities!$B46&amp;CHAR(10)&amp;REPT("●",Activities!$F46),"")</f>
        <v/>
      </c>
      <c r="N46" s="7" t="str">
        <f>IF(AND(Activities!$A46&lt;&gt;"",IF(Activities!$E46&lt;&gt;"",ISNUMBER(SEARCH(",12,",","&amp;Activities!$E46&amp;",")),AND(Activities!$C46&lt;=12,Activities!$D46&gt;=12))),IF(Activities!$H46="Coaches","🌱 ",IF(Activities!$H46="Coordinators","⚙️ ",IF(Activities!$H46="Both","👥 ","")))&amp;Activities!$B46&amp;CHAR(10)&amp;REPT("●",Activities!$F46),"")</f>
        <v/>
      </c>
    </row>
    <row r="47" spans="1:14" s="8" customFormat="1" ht="20">
      <c r="A47" s="14" t="str">
        <f>IF(Activities!$A47&lt;&gt;"",Activities!$A47,"")</f>
        <v/>
      </c>
      <c r="B47" s="7" t="str">
        <f>IF(Activities!$B47&lt;&gt;"",Activities!$B47,"")</f>
        <v/>
      </c>
      <c r="C47" s="7" t="str">
        <f>IF(AND(Activities!$A47&lt;&gt;"",IF(Activities!$E47&lt;&gt;"",ISNUMBER(SEARCH(",1,",","&amp;Activities!$E47&amp;",")),AND(Activities!$C47&lt;=1,Activities!$D47&gt;=1))),IF(Activities!$H47="Coaches","🌱 ",IF(Activities!$H47="Coordinators","⚙️ ",IF(Activities!$H47="Both","👥 ","")))&amp;Activities!$B47&amp;CHAR(10)&amp;REPT("●",Activities!$F47),"")</f>
        <v/>
      </c>
      <c r="D47" s="7" t="str">
        <f>IF(AND(Activities!$A47&lt;&gt;"",IF(Activities!$E47&lt;&gt;"",ISNUMBER(SEARCH(",2,",","&amp;Activities!$E47&amp;",")),AND(Activities!$C47&lt;=2,Activities!$D47&gt;=2))),IF(Activities!$H47="Coaches","🌱 ",IF(Activities!$H47="Coordinators","⚙️ ",IF(Activities!$H47="Both","👥 ","")))&amp;Activities!$B47&amp;CHAR(10)&amp;REPT("●",Activities!$F47),"")</f>
        <v/>
      </c>
      <c r="E47" s="7" t="str">
        <f>IF(AND(Activities!$A47&lt;&gt;"",IF(Activities!$E47&lt;&gt;"",ISNUMBER(SEARCH(",3,",","&amp;Activities!$E47&amp;",")),AND(Activities!$C47&lt;=3,Activities!$D47&gt;=3))),IF(Activities!$H47="Coaches","🌱 ",IF(Activities!$H47="Coordinators","⚙️ ",IF(Activities!$H47="Both","👥 ","")))&amp;Activities!$B47&amp;CHAR(10)&amp;REPT("●",Activities!$F47),"")</f>
        <v/>
      </c>
      <c r="F47" s="7" t="str">
        <f>IF(AND(Activities!$A47&lt;&gt;"",IF(Activities!$E47&lt;&gt;"",ISNUMBER(SEARCH(",4,",","&amp;Activities!$E47&amp;",")),AND(Activities!$C47&lt;=4,Activities!$D47&gt;=4))),IF(Activities!$H47="Coaches","🌱 ",IF(Activities!$H47="Coordinators","⚙️ ",IF(Activities!$H47="Both","👥 ","")))&amp;Activities!$B47&amp;CHAR(10)&amp;REPT("●",Activities!$F47),"")</f>
        <v/>
      </c>
      <c r="G47" s="7" t="str">
        <f>IF(AND(Activities!$A47&lt;&gt;"",IF(Activities!$E47&lt;&gt;"",ISNUMBER(SEARCH(",5,",","&amp;Activities!$E47&amp;",")),AND(Activities!$C47&lt;=5,Activities!$D47&gt;=5))),IF(Activities!$H47="Coaches","🌱 ",IF(Activities!$H47="Coordinators","⚙️ ",IF(Activities!$H47="Both","👥 ","")))&amp;Activities!$B47&amp;CHAR(10)&amp;REPT("●",Activities!$F47),"")</f>
        <v/>
      </c>
      <c r="H47" s="7" t="str">
        <f>IF(AND(Activities!$A47&lt;&gt;"",IF(Activities!$E47&lt;&gt;"",ISNUMBER(SEARCH(",6,",","&amp;Activities!$E47&amp;",")),AND(Activities!$C47&lt;=6,Activities!$D47&gt;=6))),IF(Activities!$H47="Coaches","🌱 ",IF(Activities!$H47="Coordinators","⚙️ ",IF(Activities!$H47="Both","👥 ","")))&amp;Activities!$B47&amp;CHAR(10)&amp;REPT("●",Activities!$F47),"")</f>
        <v/>
      </c>
      <c r="I47" s="7" t="str">
        <f>IF(AND(Activities!$A47&lt;&gt;"",IF(Activities!$E47&lt;&gt;"",ISNUMBER(SEARCH(",7,",","&amp;Activities!$E47&amp;",")),AND(Activities!$C47&lt;=7,Activities!$D47&gt;=7))),IF(Activities!$H47="Coaches","🌱 ",IF(Activities!$H47="Coordinators","⚙️ ",IF(Activities!$H47="Both","👥 ","")))&amp;Activities!$B47&amp;CHAR(10)&amp;REPT("●",Activities!$F47),"")</f>
        <v/>
      </c>
      <c r="J47" s="7" t="str">
        <f>IF(AND(Activities!$A47&lt;&gt;"",IF(Activities!$E47&lt;&gt;"",ISNUMBER(SEARCH(",8,",","&amp;Activities!$E47&amp;",")),AND(Activities!$C47&lt;=8,Activities!$D47&gt;=8))),IF(Activities!$H47="Coaches","🌱 ",IF(Activities!$H47="Coordinators","⚙️ ",IF(Activities!$H47="Both","👥 ","")))&amp;Activities!$B47&amp;CHAR(10)&amp;REPT("●",Activities!$F47),"")</f>
        <v/>
      </c>
      <c r="K47" s="7" t="str">
        <f>IF(AND(Activities!$A47&lt;&gt;"",IF(Activities!$E47&lt;&gt;"",ISNUMBER(SEARCH(",9,",","&amp;Activities!$E47&amp;",")),AND(Activities!$C47&lt;=9,Activities!$D47&gt;=9))),IF(Activities!$H47="Coaches","🌱 ",IF(Activities!$H47="Coordinators","⚙️ ",IF(Activities!$H47="Both","👥 ","")))&amp;Activities!$B47&amp;CHAR(10)&amp;REPT("●",Activities!$F47),"")</f>
        <v/>
      </c>
      <c r="L47" s="7" t="str">
        <f>IF(AND(Activities!$A47&lt;&gt;"",IF(Activities!$E47&lt;&gt;"",ISNUMBER(SEARCH(",10,",","&amp;Activities!$E47&amp;",")),AND(Activities!$C47&lt;=10,Activities!$D47&gt;=10))),IF(Activities!$H47="Coaches","🌱 ",IF(Activities!$H47="Coordinators","⚙️ ",IF(Activities!$H47="Both","👥 ","")))&amp;Activities!$B47&amp;CHAR(10)&amp;REPT("●",Activities!$F47),"")</f>
        <v/>
      </c>
      <c r="M47" s="7" t="str">
        <f>IF(AND(Activities!$A47&lt;&gt;"",IF(Activities!$E47&lt;&gt;"",ISNUMBER(SEARCH(",11,",","&amp;Activities!$E47&amp;",")),AND(Activities!$C47&lt;=11,Activities!$D47&gt;=11))),IF(Activities!$H47="Coaches","🌱 ",IF(Activities!$H47="Coordinators","⚙️ ",IF(Activities!$H47="Both","👥 ","")))&amp;Activities!$B47&amp;CHAR(10)&amp;REPT("●",Activities!$F47),"")</f>
        <v/>
      </c>
      <c r="N47" s="7" t="str">
        <f>IF(AND(Activities!$A47&lt;&gt;"",IF(Activities!$E47&lt;&gt;"",ISNUMBER(SEARCH(",12,",","&amp;Activities!$E47&amp;",")),AND(Activities!$C47&lt;=12,Activities!$D47&gt;=12))),IF(Activities!$H47="Coaches","🌱 ",IF(Activities!$H47="Coordinators","⚙️ ",IF(Activities!$H47="Both","👥 ","")))&amp;Activities!$B47&amp;CHAR(10)&amp;REPT("●",Activities!$F47),"")</f>
        <v/>
      </c>
    </row>
    <row r="48" spans="1:14" s="8" customFormat="1" ht="20">
      <c r="A48" s="14" t="str">
        <f>IF(Activities!$A48&lt;&gt;"",Activities!$A48,"")</f>
        <v/>
      </c>
      <c r="B48" s="7" t="str">
        <f>IF(Activities!$B48&lt;&gt;"",Activities!$B48,"")</f>
        <v/>
      </c>
      <c r="C48" s="7" t="str">
        <f>IF(AND(Activities!$A48&lt;&gt;"",IF(Activities!$E48&lt;&gt;"",ISNUMBER(SEARCH(",1,",","&amp;Activities!$E48&amp;",")),AND(Activities!$C48&lt;=1,Activities!$D48&gt;=1))),IF(Activities!$H48="Coaches","🌱 ",IF(Activities!$H48="Coordinators","⚙️ ",IF(Activities!$H48="Both","👥 ","")))&amp;Activities!$B48&amp;CHAR(10)&amp;REPT("●",Activities!$F48),"")</f>
        <v/>
      </c>
      <c r="D48" s="7" t="str">
        <f>IF(AND(Activities!$A48&lt;&gt;"",IF(Activities!$E48&lt;&gt;"",ISNUMBER(SEARCH(",2,",","&amp;Activities!$E48&amp;",")),AND(Activities!$C48&lt;=2,Activities!$D48&gt;=2))),IF(Activities!$H48="Coaches","🌱 ",IF(Activities!$H48="Coordinators","⚙️ ",IF(Activities!$H48="Both","👥 ","")))&amp;Activities!$B48&amp;CHAR(10)&amp;REPT("●",Activities!$F48),"")</f>
        <v/>
      </c>
      <c r="E48" s="7" t="str">
        <f>IF(AND(Activities!$A48&lt;&gt;"",IF(Activities!$E48&lt;&gt;"",ISNUMBER(SEARCH(",3,",","&amp;Activities!$E48&amp;",")),AND(Activities!$C48&lt;=3,Activities!$D48&gt;=3))),IF(Activities!$H48="Coaches","🌱 ",IF(Activities!$H48="Coordinators","⚙️ ",IF(Activities!$H48="Both","👥 ","")))&amp;Activities!$B48&amp;CHAR(10)&amp;REPT("●",Activities!$F48),"")</f>
        <v/>
      </c>
      <c r="F48" s="7" t="str">
        <f>IF(AND(Activities!$A48&lt;&gt;"",IF(Activities!$E48&lt;&gt;"",ISNUMBER(SEARCH(",4,",","&amp;Activities!$E48&amp;",")),AND(Activities!$C48&lt;=4,Activities!$D48&gt;=4))),IF(Activities!$H48="Coaches","🌱 ",IF(Activities!$H48="Coordinators","⚙️ ",IF(Activities!$H48="Both","👥 ","")))&amp;Activities!$B48&amp;CHAR(10)&amp;REPT("●",Activities!$F48),"")</f>
        <v/>
      </c>
      <c r="G48" s="7" t="str">
        <f>IF(AND(Activities!$A48&lt;&gt;"",IF(Activities!$E48&lt;&gt;"",ISNUMBER(SEARCH(",5,",","&amp;Activities!$E48&amp;",")),AND(Activities!$C48&lt;=5,Activities!$D48&gt;=5))),IF(Activities!$H48="Coaches","🌱 ",IF(Activities!$H48="Coordinators","⚙️ ",IF(Activities!$H48="Both","👥 ","")))&amp;Activities!$B48&amp;CHAR(10)&amp;REPT("●",Activities!$F48),"")</f>
        <v/>
      </c>
      <c r="H48" s="7" t="str">
        <f>IF(AND(Activities!$A48&lt;&gt;"",IF(Activities!$E48&lt;&gt;"",ISNUMBER(SEARCH(",6,",","&amp;Activities!$E48&amp;",")),AND(Activities!$C48&lt;=6,Activities!$D48&gt;=6))),IF(Activities!$H48="Coaches","🌱 ",IF(Activities!$H48="Coordinators","⚙️ ",IF(Activities!$H48="Both","👥 ","")))&amp;Activities!$B48&amp;CHAR(10)&amp;REPT("●",Activities!$F48),"")</f>
        <v/>
      </c>
      <c r="I48" s="7" t="str">
        <f>IF(AND(Activities!$A48&lt;&gt;"",IF(Activities!$E48&lt;&gt;"",ISNUMBER(SEARCH(",7,",","&amp;Activities!$E48&amp;",")),AND(Activities!$C48&lt;=7,Activities!$D48&gt;=7))),IF(Activities!$H48="Coaches","🌱 ",IF(Activities!$H48="Coordinators","⚙️ ",IF(Activities!$H48="Both","👥 ","")))&amp;Activities!$B48&amp;CHAR(10)&amp;REPT("●",Activities!$F48),"")</f>
        <v/>
      </c>
      <c r="J48" s="7" t="str">
        <f>IF(AND(Activities!$A48&lt;&gt;"",IF(Activities!$E48&lt;&gt;"",ISNUMBER(SEARCH(",8,",","&amp;Activities!$E48&amp;",")),AND(Activities!$C48&lt;=8,Activities!$D48&gt;=8))),IF(Activities!$H48="Coaches","🌱 ",IF(Activities!$H48="Coordinators","⚙️ ",IF(Activities!$H48="Both","👥 ","")))&amp;Activities!$B48&amp;CHAR(10)&amp;REPT("●",Activities!$F48),"")</f>
        <v/>
      </c>
      <c r="K48" s="7" t="str">
        <f>IF(AND(Activities!$A48&lt;&gt;"",IF(Activities!$E48&lt;&gt;"",ISNUMBER(SEARCH(",9,",","&amp;Activities!$E48&amp;",")),AND(Activities!$C48&lt;=9,Activities!$D48&gt;=9))),IF(Activities!$H48="Coaches","🌱 ",IF(Activities!$H48="Coordinators","⚙️ ",IF(Activities!$H48="Both","👥 ","")))&amp;Activities!$B48&amp;CHAR(10)&amp;REPT("●",Activities!$F48),"")</f>
        <v/>
      </c>
      <c r="L48" s="7" t="str">
        <f>IF(AND(Activities!$A48&lt;&gt;"",IF(Activities!$E48&lt;&gt;"",ISNUMBER(SEARCH(",10,",","&amp;Activities!$E48&amp;",")),AND(Activities!$C48&lt;=10,Activities!$D48&gt;=10))),IF(Activities!$H48="Coaches","🌱 ",IF(Activities!$H48="Coordinators","⚙️ ",IF(Activities!$H48="Both","👥 ","")))&amp;Activities!$B48&amp;CHAR(10)&amp;REPT("●",Activities!$F48),"")</f>
        <v/>
      </c>
      <c r="M48" s="7" t="str">
        <f>IF(AND(Activities!$A48&lt;&gt;"",IF(Activities!$E48&lt;&gt;"",ISNUMBER(SEARCH(",11,",","&amp;Activities!$E48&amp;",")),AND(Activities!$C48&lt;=11,Activities!$D48&gt;=11))),IF(Activities!$H48="Coaches","🌱 ",IF(Activities!$H48="Coordinators","⚙️ ",IF(Activities!$H48="Both","👥 ","")))&amp;Activities!$B48&amp;CHAR(10)&amp;REPT("●",Activities!$F48),"")</f>
        <v/>
      </c>
      <c r="N48" s="7" t="str">
        <f>IF(AND(Activities!$A48&lt;&gt;"",IF(Activities!$E48&lt;&gt;"",ISNUMBER(SEARCH(",12,",","&amp;Activities!$E48&amp;",")),AND(Activities!$C48&lt;=12,Activities!$D48&gt;=12))),IF(Activities!$H48="Coaches","🌱 ",IF(Activities!$H48="Coordinators","⚙️ ",IF(Activities!$H48="Both","👥 ","")))&amp;Activities!$B48&amp;CHAR(10)&amp;REPT("●",Activities!$F48),"")</f>
        <v/>
      </c>
    </row>
    <row r="49" spans="1:14" s="8" customFormat="1" ht="20">
      <c r="A49" s="14" t="str">
        <f>IF(Activities!$A49&lt;&gt;"",Activities!$A49,"")</f>
        <v/>
      </c>
      <c r="B49" s="7" t="str">
        <f>IF(Activities!$B49&lt;&gt;"",Activities!$B49,"")</f>
        <v/>
      </c>
      <c r="C49" s="7" t="str">
        <f>IF(AND(Activities!$A49&lt;&gt;"",IF(Activities!$E49&lt;&gt;"",ISNUMBER(SEARCH(",1,",","&amp;Activities!$E49&amp;",")),AND(Activities!$C49&lt;=1,Activities!$D49&gt;=1))),IF(Activities!$H49="Coaches","🌱 ",IF(Activities!$H49="Coordinators","⚙️ ",IF(Activities!$H49="Both","👥 ","")))&amp;Activities!$B49&amp;CHAR(10)&amp;REPT("●",Activities!$F49),"")</f>
        <v/>
      </c>
      <c r="D49" s="7" t="str">
        <f>IF(AND(Activities!$A49&lt;&gt;"",IF(Activities!$E49&lt;&gt;"",ISNUMBER(SEARCH(",2,",","&amp;Activities!$E49&amp;",")),AND(Activities!$C49&lt;=2,Activities!$D49&gt;=2))),IF(Activities!$H49="Coaches","🌱 ",IF(Activities!$H49="Coordinators","⚙️ ",IF(Activities!$H49="Both","👥 ","")))&amp;Activities!$B49&amp;CHAR(10)&amp;REPT("●",Activities!$F49),"")</f>
        <v/>
      </c>
      <c r="E49" s="7" t="str">
        <f>IF(AND(Activities!$A49&lt;&gt;"",IF(Activities!$E49&lt;&gt;"",ISNUMBER(SEARCH(",3,",","&amp;Activities!$E49&amp;",")),AND(Activities!$C49&lt;=3,Activities!$D49&gt;=3))),IF(Activities!$H49="Coaches","🌱 ",IF(Activities!$H49="Coordinators","⚙️ ",IF(Activities!$H49="Both","👥 ","")))&amp;Activities!$B49&amp;CHAR(10)&amp;REPT("●",Activities!$F49),"")</f>
        <v/>
      </c>
      <c r="F49" s="7" t="str">
        <f>IF(AND(Activities!$A49&lt;&gt;"",IF(Activities!$E49&lt;&gt;"",ISNUMBER(SEARCH(",4,",","&amp;Activities!$E49&amp;",")),AND(Activities!$C49&lt;=4,Activities!$D49&gt;=4))),IF(Activities!$H49="Coaches","🌱 ",IF(Activities!$H49="Coordinators","⚙️ ",IF(Activities!$H49="Both","👥 ","")))&amp;Activities!$B49&amp;CHAR(10)&amp;REPT("●",Activities!$F49),"")</f>
        <v/>
      </c>
      <c r="G49" s="7" t="str">
        <f>IF(AND(Activities!$A49&lt;&gt;"",IF(Activities!$E49&lt;&gt;"",ISNUMBER(SEARCH(",5,",","&amp;Activities!$E49&amp;",")),AND(Activities!$C49&lt;=5,Activities!$D49&gt;=5))),IF(Activities!$H49="Coaches","🌱 ",IF(Activities!$H49="Coordinators","⚙️ ",IF(Activities!$H49="Both","👥 ","")))&amp;Activities!$B49&amp;CHAR(10)&amp;REPT("●",Activities!$F49),"")</f>
        <v/>
      </c>
      <c r="H49" s="7" t="str">
        <f>IF(AND(Activities!$A49&lt;&gt;"",IF(Activities!$E49&lt;&gt;"",ISNUMBER(SEARCH(",6,",","&amp;Activities!$E49&amp;",")),AND(Activities!$C49&lt;=6,Activities!$D49&gt;=6))),IF(Activities!$H49="Coaches","🌱 ",IF(Activities!$H49="Coordinators","⚙️ ",IF(Activities!$H49="Both","👥 ","")))&amp;Activities!$B49&amp;CHAR(10)&amp;REPT("●",Activities!$F49),"")</f>
        <v/>
      </c>
      <c r="I49" s="7" t="str">
        <f>IF(AND(Activities!$A49&lt;&gt;"",IF(Activities!$E49&lt;&gt;"",ISNUMBER(SEARCH(",7,",","&amp;Activities!$E49&amp;",")),AND(Activities!$C49&lt;=7,Activities!$D49&gt;=7))),IF(Activities!$H49="Coaches","🌱 ",IF(Activities!$H49="Coordinators","⚙️ ",IF(Activities!$H49="Both","👥 ","")))&amp;Activities!$B49&amp;CHAR(10)&amp;REPT("●",Activities!$F49),"")</f>
        <v/>
      </c>
      <c r="J49" s="7" t="str">
        <f>IF(AND(Activities!$A49&lt;&gt;"",IF(Activities!$E49&lt;&gt;"",ISNUMBER(SEARCH(",8,",","&amp;Activities!$E49&amp;",")),AND(Activities!$C49&lt;=8,Activities!$D49&gt;=8))),IF(Activities!$H49="Coaches","🌱 ",IF(Activities!$H49="Coordinators","⚙️ ",IF(Activities!$H49="Both","👥 ","")))&amp;Activities!$B49&amp;CHAR(10)&amp;REPT("●",Activities!$F49),"")</f>
        <v/>
      </c>
      <c r="K49" s="7" t="str">
        <f>IF(AND(Activities!$A49&lt;&gt;"",IF(Activities!$E49&lt;&gt;"",ISNUMBER(SEARCH(",9,",","&amp;Activities!$E49&amp;",")),AND(Activities!$C49&lt;=9,Activities!$D49&gt;=9))),IF(Activities!$H49="Coaches","🌱 ",IF(Activities!$H49="Coordinators","⚙️ ",IF(Activities!$H49="Both","👥 ","")))&amp;Activities!$B49&amp;CHAR(10)&amp;REPT("●",Activities!$F49),"")</f>
        <v/>
      </c>
      <c r="L49" s="7" t="str">
        <f>IF(AND(Activities!$A49&lt;&gt;"",IF(Activities!$E49&lt;&gt;"",ISNUMBER(SEARCH(",10,",","&amp;Activities!$E49&amp;",")),AND(Activities!$C49&lt;=10,Activities!$D49&gt;=10))),IF(Activities!$H49="Coaches","🌱 ",IF(Activities!$H49="Coordinators","⚙️ ",IF(Activities!$H49="Both","👥 ","")))&amp;Activities!$B49&amp;CHAR(10)&amp;REPT("●",Activities!$F49),"")</f>
        <v/>
      </c>
      <c r="M49" s="7" t="str">
        <f>IF(AND(Activities!$A49&lt;&gt;"",IF(Activities!$E49&lt;&gt;"",ISNUMBER(SEARCH(",11,",","&amp;Activities!$E49&amp;",")),AND(Activities!$C49&lt;=11,Activities!$D49&gt;=11))),IF(Activities!$H49="Coaches","🌱 ",IF(Activities!$H49="Coordinators","⚙️ ",IF(Activities!$H49="Both","👥 ","")))&amp;Activities!$B49&amp;CHAR(10)&amp;REPT("●",Activities!$F49),"")</f>
        <v/>
      </c>
      <c r="N49" s="7" t="str">
        <f>IF(AND(Activities!$A49&lt;&gt;"",IF(Activities!$E49&lt;&gt;"",ISNUMBER(SEARCH(",12,",","&amp;Activities!$E49&amp;",")),AND(Activities!$C49&lt;=12,Activities!$D49&gt;=12))),IF(Activities!$H49="Coaches","🌱 ",IF(Activities!$H49="Coordinators","⚙️ ",IF(Activities!$H49="Both","👥 ","")))&amp;Activities!$B49&amp;CHAR(10)&amp;REPT("●",Activities!$F49),"")</f>
        <v/>
      </c>
    </row>
    <row r="50" spans="1:14" s="8" customFormat="1" ht="20">
      <c r="A50" s="14" t="str">
        <f>IF(Activities!$A50&lt;&gt;"",Activities!$A50,"")</f>
        <v/>
      </c>
      <c r="B50" s="7" t="str">
        <f>IF(Activities!$B50&lt;&gt;"",Activities!$B50,"")</f>
        <v/>
      </c>
      <c r="C50" s="7" t="str">
        <f>IF(AND(Activities!$A50&lt;&gt;"",IF(Activities!$E50&lt;&gt;"",ISNUMBER(SEARCH(",1,",","&amp;Activities!$E50&amp;",")),AND(Activities!$C50&lt;=1,Activities!$D50&gt;=1))),IF(Activities!$H50="Coaches","🌱 ",IF(Activities!$H50="Coordinators","⚙️ ",IF(Activities!$H50="Both","👥 ","")))&amp;Activities!$B50&amp;CHAR(10)&amp;REPT("●",Activities!$F50),"")</f>
        <v/>
      </c>
      <c r="D50" s="7" t="str">
        <f>IF(AND(Activities!$A50&lt;&gt;"",IF(Activities!$E50&lt;&gt;"",ISNUMBER(SEARCH(",2,",","&amp;Activities!$E50&amp;",")),AND(Activities!$C50&lt;=2,Activities!$D50&gt;=2))),IF(Activities!$H50="Coaches","🌱 ",IF(Activities!$H50="Coordinators","⚙️ ",IF(Activities!$H50="Both","👥 ","")))&amp;Activities!$B50&amp;CHAR(10)&amp;REPT("●",Activities!$F50),"")</f>
        <v/>
      </c>
      <c r="E50" s="7" t="str">
        <f>IF(AND(Activities!$A50&lt;&gt;"",IF(Activities!$E50&lt;&gt;"",ISNUMBER(SEARCH(",3,",","&amp;Activities!$E50&amp;",")),AND(Activities!$C50&lt;=3,Activities!$D50&gt;=3))),IF(Activities!$H50="Coaches","🌱 ",IF(Activities!$H50="Coordinators","⚙️ ",IF(Activities!$H50="Both","👥 ","")))&amp;Activities!$B50&amp;CHAR(10)&amp;REPT("●",Activities!$F50),"")</f>
        <v/>
      </c>
      <c r="F50" s="7" t="str">
        <f>IF(AND(Activities!$A50&lt;&gt;"",IF(Activities!$E50&lt;&gt;"",ISNUMBER(SEARCH(",4,",","&amp;Activities!$E50&amp;",")),AND(Activities!$C50&lt;=4,Activities!$D50&gt;=4))),IF(Activities!$H50="Coaches","🌱 ",IF(Activities!$H50="Coordinators","⚙️ ",IF(Activities!$H50="Both","👥 ","")))&amp;Activities!$B50&amp;CHAR(10)&amp;REPT("●",Activities!$F50),"")</f>
        <v/>
      </c>
      <c r="G50" s="7" t="str">
        <f>IF(AND(Activities!$A50&lt;&gt;"",IF(Activities!$E50&lt;&gt;"",ISNUMBER(SEARCH(",5,",","&amp;Activities!$E50&amp;",")),AND(Activities!$C50&lt;=5,Activities!$D50&gt;=5))),IF(Activities!$H50="Coaches","🌱 ",IF(Activities!$H50="Coordinators","⚙️ ",IF(Activities!$H50="Both","👥 ","")))&amp;Activities!$B50&amp;CHAR(10)&amp;REPT("●",Activities!$F50),"")</f>
        <v/>
      </c>
      <c r="H50" s="7" t="str">
        <f>IF(AND(Activities!$A50&lt;&gt;"",IF(Activities!$E50&lt;&gt;"",ISNUMBER(SEARCH(",6,",","&amp;Activities!$E50&amp;",")),AND(Activities!$C50&lt;=6,Activities!$D50&gt;=6))),IF(Activities!$H50="Coaches","🌱 ",IF(Activities!$H50="Coordinators","⚙️ ",IF(Activities!$H50="Both","👥 ","")))&amp;Activities!$B50&amp;CHAR(10)&amp;REPT("●",Activities!$F50),"")</f>
        <v/>
      </c>
      <c r="I50" s="7" t="str">
        <f>IF(AND(Activities!$A50&lt;&gt;"",IF(Activities!$E50&lt;&gt;"",ISNUMBER(SEARCH(",7,",","&amp;Activities!$E50&amp;",")),AND(Activities!$C50&lt;=7,Activities!$D50&gt;=7))),IF(Activities!$H50="Coaches","🌱 ",IF(Activities!$H50="Coordinators","⚙️ ",IF(Activities!$H50="Both","👥 ","")))&amp;Activities!$B50&amp;CHAR(10)&amp;REPT("●",Activities!$F50),"")</f>
        <v/>
      </c>
      <c r="J50" s="7" t="str">
        <f>IF(AND(Activities!$A50&lt;&gt;"",IF(Activities!$E50&lt;&gt;"",ISNUMBER(SEARCH(",8,",","&amp;Activities!$E50&amp;",")),AND(Activities!$C50&lt;=8,Activities!$D50&gt;=8))),IF(Activities!$H50="Coaches","🌱 ",IF(Activities!$H50="Coordinators","⚙️ ",IF(Activities!$H50="Both","👥 ","")))&amp;Activities!$B50&amp;CHAR(10)&amp;REPT("●",Activities!$F50),"")</f>
        <v/>
      </c>
      <c r="K50" s="7" t="str">
        <f>IF(AND(Activities!$A50&lt;&gt;"",IF(Activities!$E50&lt;&gt;"",ISNUMBER(SEARCH(",9,",","&amp;Activities!$E50&amp;",")),AND(Activities!$C50&lt;=9,Activities!$D50&gt;=9))),IF(Activities!$H50="Coaches","🌱 ",IF(Activities!$H50="Coordinators","⚙️ ",IF(Activities!$H50="Both","👥 ","")))&amp;Activities!$B50&amp;CHAR(10)&amp;REPT("●",Activities!$F50),"")</f>
        <v/>
      </c>
      <c r="L50" s="7" t="str">
        <f>IF(AND(Activities!$A50&lt;&gt;"",IF(Activities!$E50&lt;&gt;"",ISNUMBER(SEARCH(",10,",","&amp;Activities!$E50&amp;",")),AND(Activities!$C50&lt;=10,Activities!$D50&gt;=10))),IF(Activities!$H50="Coaches","🌱 ",IF(Activities!$H50="Coordinators","⚙️ ",IF(Activities!$H50="Both","👥 ","")))&amp;Activities!$B50&amp;CHAR(10)&amp;REPT("●",Activities!$F50),"")</f>
        <v/>
      </c>
      <c r="M50" s="7" t="str">
        <f>IF(AND(Activities!$A50&lt;&gt;"",IF(Activities!$E50&lt;&gt;"",ISNUMBER(SEARCH(",11,",","&amp;Activities!$E50&amp;",")),AND(Activities!$C50&lt;=11,Activities!$D50&gt;=11))),IF(Activities!$H50="Coaches","🌱 ",IF(Activities!$H50="Coordinators","⚙️ ",IF(Activities!$H50="Both","👥 ","")))&amp;Activities!$B50&amp;CHAR(10)&amp;REPT("●",Activities!$F50),"")</f>
        <v/>
      </c>
      <c r="N50" s="7" t="str">
        <f>IF(AND(Activities!$A50&lt;&gt;"",IF(Activities!$E50&lt;&gt;"",ISNUMBER(SEARCH(",12,",","&amp;Activities!$E50&amp;",")),AND(Activities!$C50&lt;=12,Activities!$D50&gt;=12))),IF(Activities!$H50="Coaches","🌱 ",IF(Activities!$H50="Coordinators","⚙️ ",IF(Activities!$H50="Both","👥 ","")))&amp;Activities!$B50&amp;CHAR(10)&amp;REPT("●",Activities!$F50),"")</f>
        <v/>
      </c>
    </row>
    <row r="51" spans="1:14" s="8" customFormat="1" ht="20">
      <c r="A51" s="14" t="str">
        <f>IF(Activities!$A51&lt;&gt;"",Activities!$A51,"")</f>
        <v/>
      </c>
      <c r="B51" s="7" t="str">
        <f>IF(Activities!$B51&lt;&gt;"",Activities!$B51,"")</f>
        <v/>
      </c>
      <c r="C51" s="7" t="str">
        <f>IF(AND(Activities!$A51&lt;&gt;"",IF(Activities!$E51&lt;&gt;"",ISNUMBER(SEARCH(",1,",","&amp;Activities!$E51&amp;",")),AND(Activities!$C51&lt;=1,Activities!$D51&gt;=1))),IF(Activities!$H51="Coaches","🌱 ",IF(Activities!$H51="Coordinators","⚙️ ",IF(Activities!$H51="Both","👥 ","")))&amp;Activities!$B51&amp;CHAR(10)&amp;REPT("●",Activities!$F51),"")</f>
        <v/>
      </c>
      <c r="D51" s="7" t="str">
        <f>IF(AND(Activities!$A51&lt;&gt;"",IF(Activities!$E51&lt;&gt;"",ISNUMBER(SEARCH(",2,",","&amp;Activities!$E51&amp;",")),AND(Activities!$C51&lt;=2,Activities!$D51&gt;=2))),IF(Activities!$H51="Coaches","🌱 ",IF(Activities!$H51="Coordinators","⚙️ ",IF(Activities!$H51="Both","👥 ","")))&amp;Activities!$B51&amp;CHAR(10)&amp;REPT("●",Activities!$F51),"")</f>
        <v/>
      </c>
      <c r="E51" s="7" t="str">
        <f>IF(AND(Activities!$A51&lt;&gt;"",IF(Activities!$E51&lt;&gt;"",ISNUMBER(SEARCH(",3,",","&amp;Activities!$E51&amp;",")),AND(Activities!$C51&lt;=3,Activities!$D51&gt;=3))),IF(Activities!$H51="Coaches","🌱 ",IF(Activities!$H51="Coordinators","⚙️ ",IF(Activities!$H51="Both","👥 ","")))&amp;Activities!$B51&amp;CHAR(10)&amp;REPT("●",Activities!$F51),"")</f>
        <v/>
      </c>
      <c r="F51" s="7" t="str">
        <f>IF(AND(Activities!$A51&lt;&gt;"",IF(Activities!$E51&lt;&gt;"",ISNUMBER(SEARCH(",4,",","&amp;Activities!$E51&amp;",")),AND(Activities!$C51&lt;=4,Activities!$D51&gt;=4))),IF(Activities!$H51="Coaches","🌱 ",IF(Activities!$H51="Coordinators","⚙️ ",IF(Activities!$H51="Both","👥 ","")))&amp;Activities!$B51&amp;CHAR(10)&amp;REPT("●",Activities!$F51),"")</f>
        <v/>
      </c>
      <c r="G51" s="7" t="str">
        <f>IF(AND(Activities!$A51&lt;&gt;"",IF(Activities!$E51&lt;&gt;"",ISNUMBER(SEARCH(",5,",","&amp;Activities!$E51&amp;",")),AND(Activities!$C51&lt;=5,Activities!$D51&gt;=5))),IF(Activities!$H51="Coaches","🌱 ",IF(Activities!$H51="Coordinators","⚙️ ",IF(Activities!$H51="Both","👥 ","")))&amp;Activities!$B51&amp;CHAR(10)&amp;REPT("●",Activities!$F51),"")</f>
        <v/>
      </c>
      <c r="H51" s="7" t="str">
        <f>IF(AND(Activities!$A51&lt;&gt;"",IF(Activities!$E51&lt;&gt;"",ISNUMBER(SEARCH(",6,",","&amp;Activities!$E51&amp;",")),AND(Activities!$C51&lt;=6,Activities!$D51&gt;=6))),IF(Activities!$H51="Coaches","🌱 ",IF(Activities!$H51="Coordinators","⚙️ ",IF(Activities!$H51="Both","👥 ","")))&amp;Activities!$B51&amp;CHAR(10)&amp;REPT("●",Activities!$F51),"")</f>
        <v/>
      </c>
      <c r="I51" s="7" t="str">
        <f>IF(AND(Activities!$A51&lt;&gt;"",IF(Activities!$E51&lt;&gt;"",ISNUMBER(SEARCH(",7,",","&amp;Activities!$E51&amp;",")),AND(Activities!$C51&lt;=7,Activities!$D51&gt;=7))),IF(Activities!$H51="Coaches","🌱 ",IF(Activities!$H51="Coordinators","⚙️ ",IF(Activities!$H51="Both","👥 ","")))&amp;Activities!$B51&amp;CHAR(10)&amp;REPT("●",Activities!$F51),"")</f>
        <v/>
      </c>
      <c r="J51" s="7" t="str">
        <f>IF(AND(Activities!$A51&lt;&gt;"",IF(Activities!$E51&lt;&gt;"",ISNUMBER(SEARCH(",8,",","&amp;Activities!$E51&amp;",")),AND(Activities!$C51&lt;=8,Activities!$D51&gt;=8))),IF(Activities!$H51="Coaches","🌱 ",IF(Activities!$H51="Coordinators","⚙️ ",IF(Activities!$H51="Both","👥 ","")))&amp;Activities!$B51&amp;CHAR(10)&amp;REPT("●",Activities!$F51),"")</f>
        <v/>
      </c>
      <c r="K51" s="7" t="str">
        <f>IF(AND(Activities!$A51&lt;&gt;"",IF(Activities!$E51&lt;&gt;"",ISNUMBER(SEARCH(",9,",","&amp;Activities!$E51&amp;",")),AND(Activities!$C51&lt;=9,Activities!$D51&gt;=9))),IF(Activities!$H51="Coaches","🌱 ",IF(Activities!$H51="Coordinators","⚙️ ",IF(Activities!$H51="Both","👥 ","")))&amp;Activities!$B51&amp;CHAR(10)&amp;REPT("●",Activities!$F51),"")</f>
        <v/>
      </c>
      <c r="L51" s="7" t="str">
        <f>IF(AND(Activities!$A51&lt;&gt;"",IF(Activities!$E51&lt;&gt;"",ISNUMBER(SEARCH(",10,",","&amp;Activities!$E51&amp;",")),AND(Activities!$C51&lt;=10,Activities!$D51&gt;=10))),IF(Activities!$H51="Coaches","🌱 ",IF(Activities!$H51="Coordinators","⚙️ ",IF(Activities!$H51="Both","👥 ","")))&amp;Activities!$B51&amp;CHAR(10)&amp;REPT("●",Activities!$F51),"")</f>
        <v/>
      </c>
      <c r="M51" s="7" t="str">
        <f>IF(AND(Activities!$A51&lt;&gt;"",IF(Activities!$E51&lt;&gt;"",ISNUMBER(SEARCH(",11,",","&amp;Activities!$E51&amp;",")),AND(Activities!$C51&lt;=11,Activities!$D51&gt;=11))),IF(Activities!$H51="Coaches","🌱 ",IF(Activities!$H51="Coordinators","⚙️ ",IF(Activities!$H51="Both","👥 ","")))&amp;Activities!$B51&amp;CHAR(10)&amp;REPT("●",Activities!$F51),"")</f>
        <v/>
      </c>
      <c r="N51" s="7" t="str">
        <f>IF(AND(Activities!$A51&lt;&gt;"",IF(Activities!$E51&lt;&gt;"",ISNUMBER(SEARCH(",12,",","&amp;Activities!$E51&amp;",")),AND(Activities!$C51&lt;=12,Activities!$D51&gt;=12))),IF(Activities!$H51="Coaches","🌱 ",IF(Activities!$H51="Coordinators","⚙️ ",IF(Activities!$H51="Both","👥 ","")))&amp;Activities!$B51&amp;CHAR(10)&amp;REPT("●",Activities!$F51),"")</f>
        <v/>
      </c>
    </row>
    <row r="52" spans="1:14" s="8" customFormat="1" ht="20">
      <c r="A52" s="14" t="str">
        <f>IF(Activities!$A52&lt;&gt;"",Activities!$A52,"")</f>
        <v/>
      </c>
      <c r="B52" s="7" t="str">
        <f>IF(Activities!$B52&lt;&gt;"",Activities!$B52,"")</f>
        <v/>
      </c>
      <c r="C52" s="7" t="str">
        <f>IF(AND(Activities!$A52&lt;&gt;"",IF(Activities!$E52&lt;&gt;"",ISNUMBER(SEARCH(",1,",","&amp;Activities!$E52&amp;",")),AND(Activities!$C52&lt;=1,Activities!$D52&gt;=1))),IF(Activities!$H52="Coaches","🌱 ",IF(Activities!$H52="Coordinators","⚙️ ",IF(Activities!$H52="Both","👥 ","")))&amp;Activities!$B52&amp;CHAR(10)&amp;REPT("●",Activities!$F52),"")</f>
        <v/>
      </c>
      <c r="D52" s="7" t="str">
        <f>IF(AND(Activities!$A52&lt;&gt;"",IF(Activities!$E52&lt;&gt;"",ISNUMBER(SEARCH(",2,",","&amp;Activities!$E52&amp;",")),AND(Activities!$C52&lt;=2,Activities!$D52&gt;=2))),IF(Activities!$H52="Coaches","🌱 ",IF(Activities!$H52="Coordinators","⚙️ ",IF(Activities!$H52="Both","👥 ","")))&amp;Activities!$B52&amp;CHAR(10)&amp;REPT("●",Activities!$F52),"")</f>
        <v/>
      </c>
      <c r="E52" s="7" t="str">
        <f>IF(AND(Activities!$A52&lt;&gt;"",IF(Activities!$E52&lt;&gt;"",ISNUMBER(SEARCH(",3,",","&amp;Activities!$E52&amp;",")),AND(Activities!$C52&lt;=3,Activities!$D52&gt;=3))),IF(Activities!$H52="Coaches","🌱 ",IF(Activities!$H52="Coordinators","⚙️ ",IF(Activities!$H52="Both","👥 ","")))&amp;Activities!$B52&amp;CHAR(10)&amp;REPT("●",Activities!$F52),"")</f>
        <v/>
      </c>
      <c r="F52" s="7" t="str">
        <f>IF(AND(Activities!$A52&lt;&gt;"",IF(Activities!$E52&lt;&gt;"",ISNUMBER(SEARCH(",4,",","&amp;Activities!$E52&amp;",")),AND(Activities!$C52&lt;=4,Activities!$D52&gt;=4))),IF(Activities!$H52="Coaches","🌱 ",IF(Activities!$H52="Coordinators","⚙️ ",IF(Activities!$H52="Both","👥 ","")))&amp;Activities!$B52&amp;CHAR(10)&amp;REPT("●",Activities!$F52),"")</f>
        <v/>
      </c>
      <c r="G52" s="7" t="str">
        <f>IF(AND(Activities!$A52&lt;&gt;"",IF(Activities!$E52&lt;&gt;"",ISNUMBER(SEARCH(",5,",","&amp;Activities!$E52&amp;",")),AND(Activities!$C52&lt;=5,Activities!$D52&gt;=5))),IF(Activities!$H52="Coaches","🌱 ",IF(Activities!$H52="Coordinators","⚙️ ",IF(Activities!$H52="Both","👥 ","")))&amp;Activities!$B52&amp;CHAR(10)&amp;REPT("●",Activities!$F52),"")</f>
        <v/>
      </c>
      <c r="H52" s="7" t="str">
        <f>IF(AND(Activities!$A52&lt;&gt;"",IF(Activities!$E52&lt;&gt;"",ISNUMBER(SEARCH(",6,",","&amp;Activities!$E52&amp;",")),AND(Activities!$C52&lt;=6,Activities!$D52&gt;=6))),IF(Activities!$H52="Coaches","🌱 ",IF(Activities!$H52="Coordinators","⚙️ ",IF(Activities!$H52="Both","👥 ","")))&amp;Activities!$B52&amp;CHAR(10)&amp;REPT("●",Activities!$F52),"")</f>
        <v/>
      </c>
      <c r="I52" s="7" t="str">
        <f>IF(AND(Activities!$A52&lt;&gt;"",IF(Activities!$E52&lt;&gt;"",ISNUMBER(SEARCH(",7,",","&amp;Activities!$E52&amp;",")),AND(Activities!$C52&lt;=7,Activities!$D52&gt;=7))),IF(Activities!$H52="Coaches","🌱 ",IF(Activities!$H52="Coordinators","⚙️ ",IF(Activities!$H52="Both","👥 ","")))&amp;Activities!$B52&amp;CHAR(10)&amp;REPT("●",Activities!$F52),"")</f>
        <v/>
      </c>
      <c r="J52" s="7" t="str">
        <f>IF(AND(Activities!$A52&lt;&gt;"",IF(Activities!$E52&lt;&gt;"",ISNUMBER(SEARCH(",8,",","&amp;Activities!$E52&amp;",")),AND(Activities!$C52&lt;=8,Activities!$D52&gt;=8))),IF(Activities!$H52="Coaches","🌱 ",IF(Activities!$H52="Coordinators","⚙️ ",IF(Activities!$H52="Both","👥 ","")))&amp;Activities!$B52&amp;CHAR(10)&amp;REPT("●",Activities!$F52),"")</f>
        <v/>
      </c>
      <c r="K52" s="7" t="str">
        <f>IF(AND(Activities!$A52&lt;&gt;"",IF(Activities!$E52&lt;&gt;"",ISNUMBER(SEARCH(",9,",","&amp;Activities!$E52&amp;",")),AND(Activities!$C52&lt;=9,Activities!$D52&gt;=9))),IF(Activities!$H52="Coaches","🌱 ",IF(Activities!$H52="Coordinators","⚙️ ",IF(Activities!$H52="Both","👥 ","")))&amp;Activities!$B52&amp;CHAR(10)&amp;REPT("●",Activities!$F52),"")</f>
        <v/>
      </c>
      <c r="L52" s="7" t="str">
        <f>IF(AND(Activities!$A52&lt;&gt;"",IF(Activities!$E52&lt;&gt;"",ISNUMBER(SEARCH(",10,",","&amp;Activities!$E52&amp;",")),AND(Activities!$C52&lt;=10,Activities!$D52&gt;=10))),IF(Activities!$H52="Coaches","🌱 ",IF(Activities!$H52="Coordinators","⚙️ ",IF(Activities!$H52="Both","👥 ","")))&amp;Activities!$B52&amp;CHAR(10)&amp;REPT("●",Activities!$F52),"")</f>
        <v/>
      </c>
      <c r="M52" s="7" t="str">
        <f>IF(AND(Activities!$A52&lt;&gt;"",IF(Activities!$E52&lt;&gt;"",ISNUMBER(SEARCH(",11,",","&amp;Activities!$E52&amp;",")),AND(Activities!$C52&lt;=11,Activities!$D52&gt;=11))),IF(Activities!$H52="Coaches","🌱 ",IF(Activities!$H52="Coordinators","⚙️ ",IF(Activities!$H52="Both","👥 ","")))&amp;Activities!$B52&amp;CHAR(10)&amp;REPT("●",Activities!$F52),"")</f>
        <v/>
      </c>
      <c r="N52" s="7" t="str">
        <f>IF(AND(Activities!$A52&lt;&gt;"",IF(Activities!$E52&lt;&gt;"",ISNUMBER(SEARCH(",12,",","&amp;Activities!$E52&amp;",")),AND(Activities!$C52&lt;=12,Activities!$D52&gt;=12))),IF(Activities!$H52="Coaches","🌱 ",IF(Activities!$H52="Coordinators","⚙️ ",IF(Activities!$H52="Both","👥 ","")))&amp;Activities!$B52&amp;CHAR(10)&amp;REPT("●",Activities!$F52),"")</f>
        <v/>
      </c>
    </row>
    <row r="53" spans="1:14" s="8" customFormat="1" ht="20">
      <c r="A53" s="14" t="str">
        <f>IF(Activities!$A53&lt;&gt;"",Activities!$A53,"")</f>
        <v/>
      </c>
      <c r="B53" s="7" t="str">
        <f>IF(Activities!$B53&lt;&gt;"",Activities!$B53,"")</f>
        <v/>
      </c>
      <c r="C53" s="7" t="str">
        <f>IF(AND(Activities!$A53&lt;&gt;"",IF(Activities!$E53&lt;&gt;"",ISNUMBER(SEARCH(",1,",","&amp;Activities!$E53&amp;",")),AND(Activities!$C53&lt;=1,Activities!$D53&gt;=1))),IF(Activities!$H53="Coaches","🌱 ",IF(Activities!$H53="Coordinators","⚙️ ",IF(Activities!$H53="Both","👥 ","")))&amp;Activities!$B53&amp;CHAR(10)&amp;REPT("●",Activities!$F53),"")</f>
        <v/>
      </c>
      <c r="D53" s="7" t="str">
        <f>IF(AND(Activities!$A53&lt;&gt;"",IF(Activities!$E53&lt;&gt;"",ISNUMBER(SEARCH(",2,",","&amp;Activities!$E53&amp;",")),AND(Activities!$C53&lt;=2,Activities!$D53&gt;=2))),IF(Activities!$H53="Coaches","🌱 ",IF(Activities!$H53="Coordinators","⚙️ ",IF(Activities!$H53="Both","👥 ","")))&amp;Activities!$B53&amp;CHAR(10)&amp;REPT("●",Activities!$F53),"")</f>
        <v/>
      </c>
      <c r="E53" s="7" t="str">
        <f>IF(AND(Activities!$A53&lt;&gt;"",IF(Activities!$E53&lt;&gt;"",ISNUMBER(SEARCH(",3,",","&amp;Activities!$E53&amp;",")),AND(Activities!$C53&lt;=3,Activities!$D53&gt;=3))),IF(Activities!$H53="Coaches","🌱 ",IF(Activities!$H53="Coordinators","⚙️ ",IF(Activities!$H53="Both","👥 ","")))&amp;Activities!$B53&amp;CHAR(10)&amp;REPT("●",Activities!$F53),"")</f>
        <v/>
      </c>
      <c r="F53" s="7" t="str">
        <f>IF(AND(Activities!$A53&lt;&gt;"",IF(Activities!$E53&lt;&gt;"",ISNUMBER(SEARCH(",4,",","&amp;Activities!$E53&amp;",")),AND(Activities!$C53&lt;=4,Activities!$D53&gt;=4))),IF(Activities!$H53="Coaches","🌱 ",IF(Activities!$H53="Coordinators","⚙️ ",IF(Activities!$H53="Both","👥 ","")))&amp;Activities!$B53&amp;CHAR(10)&amp;REPT("●",Activities!$F53),"")</f>
        <v/>
      </c>
      <c r="G53" s="7" t="str">
        <f>IF(AND(Activities!$A53&lt;&gt;"",IF(Activities!$E53&lt;&gt;"",ISNUMBER(SEARCH(",5,",","&amp;Activities!$E53&amp;",")),AND(Activities!$C53&lt;=5,Activities!$D53&gt;=5))),IF(Activities!$H53="Coaches","🌱 ",IF(Activities!$H53="Coordinators","⚙️ ",IF(Activities!$H53="Both","👥 ","")))&amp;Activities!$B53&amp;CHAR(10)&amp;REPT("●",Activities!$F53),"")</f>
        <v/>
      </c>
      <c r="H53" s="7" t="str">
        <f>IF(AND(Activities!$A53&lt;&gt;"",IF(Activities!$E53&lt;&gt;"",ISNUMBER(SEARCH(",6,",","&amp;Activities!$E53&amp;",")),AND(Activities!$C53&lt;=6,Activities!$D53&gt;=6))),IF(Activities!$H53="Coaches","🌱 ",IF(Activities!$H53="Coordinators","⚙️ ",IF(Activities!$H53="Both","👥 ","")))&amp;Activities!$B53&amp;CHAR(10)&amp;REPT("●",Activities!$F53),"")</f>
        <v/>
      </c>
      <c r="I53" s="7" t="str">
        <f>IF(AND(Activities!$A53&lt;&gt;"",IF(Activities!$E53&lt;&gt;"",ISNUMBER(SEARCH(",7,",","&amp;Activities!$E53&amp;",")),AND(Activities!$C53&lt;=7,Activities!$D53&gt;=7))),IF(Activities!$H53="Coaches","🌱 ",IF(Activities!$H53="Coordinators","⚙️ ",IF(Activities!$H53="Both","👥 ","")))&amp;Activities!$B53&amp;CHAR(10)&amp;REPT("●",Activities!$F53),"")</f>
        <v/>
      </c>
      <c r="J53" s="7" t="str">
        <f>IF(AND(Activities!$A53&lt;&gt;"",IF(Activities!$E53&lt;&gt;"",ISNUMBER(SEARCH(",8,",","&amp;Activities!$E53&amp;",")),AND(Activities!$C53&lt;=8,Activities!$D53&gt;=8))),IF(Activities!$H53="Coaches","🌱 ",IF(Activities!$H53="Coordinators","⚙️ ",IF(Activities!$H53="Both","👥 ","")))&amp;Activities!$B53&amp;CHAR(10)&amp;REPT("●",Activities!$F53),"")</f>
        <v/>
      </c>
      <c r="K53" s="7" t="str">
        <f>IF(AND(Activities!$A53&lt;&gt;"",IF(Activities!$E53&lt;&gt;"",ISNUMBER(SEARCH(",9,",","&amp;Activities!$E53&amp;",")),AND(Activities!$C53&lt;=9,Activities!$D53&gt;=9))),IF(Activities!$H53="Coaches","🌱 ",IF(Activities!$H53="Coordinators","⚙️ ",IF(Activities!$H53="Both","👥 ","")))&amp;Activities!$B53&amp;CHAR(10)&amp;REPT("●",Activities!$F53),"")</f>
        <v/>
      </c>
      <c r="L53" s="7" t="str">
        <f>IF(AND(Activities!$A53&lt;&gt;"",IF(Activities!$E53&lt;&gt;"",ISNUMBER(SEARCH(",10,",","&amp;Activities!$E53&amp;",")),AND(Activities!$C53&lt;=10,Activities!$D53&gt;=10))),IF(Activities!$H53="Coaches","🌱 ",IF(Activities!$H53="Coordinators","⚙️ ",IF(Activities!$H53="Both","👥 ","")))&amp;Activities!$B53&amp;CHAR(10)&amp;REPT("●",Activities!$F53),"")</f>
        <v/>
      </c>
      <c r="M53" s="7" t="str">
        <f>IF(AND(Activities!$A53&lt;&gt;"",IF(Activities!$E53&lt;&gt;"",ISNUMBER(SEARCH(",11,",","&amp;Activities!$E53&amp;",")),AND(Activities!$C53&lt;=11,Activities!$D53&gt;=11))),IF(Activities!$H53="Coaches","🌱 ",IF(Activities!$H53="Coordinators","⚙️ ",IF(Activities!$H53="Both","👥 ","")))&amp;Activities!$B53&amp;CHAR(10)&amp;REPT("●",Activities!$F53),"")</f>
        <v/>
      </c>
      <c r="N53" s="7" t="str">
        <f>IF(AND(Activities!$A53&lt;&gt;"",IF(Activities!$E53&lt;&gt;"",ISNUMBER(SEARCH(",12,",","&amp;Activities!$E53&amp;",")),AND(Activities!$C53&lt;=12,Activities!$D53&gt;=12))),IF(Activities!$H53="Coaches","🌱 ",IF(Activities!$H53="Coordinators","⚙️ ",IF(Activities!$H53="Both","👥 ","")))&amp;Activities!$B53&amp;CHAR(10)&amp;REPT("●",Activities!$F53),"")</f>
        <v/>
      </c>
    </row>
    <row r="54" spans="1:14" s="8" customFormat="1" ht="20">
      <c r="A54" s="14" t="str">
        <f>IF(Activities!$A54&lt;&gt;"",Activities!$A54,"")</f>
        <v/>
      </c>
      <c r="B54" s="7" t="str">
        <f>IF(Activities!$B54&lt;&gt;"",Activities!$B54,"")</f>
        <v/>
      </c>
      <c r="C54" s="7" t="str">
        <f>IF(AND(Activities!$A54&lt;&gt;"",IF(Activities!$E54&lt;&gt;"",ISNUMBER(SEARCH(",1,",","&amp;Activities!$E54&amp;",")),AND(Activities!$C54&lt;=1,Activities!$D54&gt;=1))),IF(Activities!$H54="Coaches","🌱 ",IF(Activities!$H54="Coordinators","⚙️ ",IF(Activities!$H54="Both","👥 ","")))&amp;Activities!$B54&amp;CHAR(10)&amp;REPT("●",Activities!$F54),"")</f>
        <v/>
      </c>
      <c r="D54" s="7" t="str">
        <f>IF(AND(Activities!$A54&lt;&gt;"",IF(Activities!$E54&lt;&gt;"",ISNUMBER(SEARCH(",2,",","&amp;Activities!$E54&amp;",")),AND(Activities!$C54&lt;=2,Activities!$D54&gt;=2))),IF(Activities!$H54="Coaches","🌱 ",IF(Activities!$H54="Coordinators","⚙️ ",IF(Activities!$H54="Both","👥 ","")))&amp;Activities!$B54&amp;CHAR(10)&amp;REPT("●",Activities!$F54),"")</f>
        <v/>
      </c>
      <c r="E54" s="7" t="str">
        <f>IF(AND(Activities!$A54&lt;&gt;"",IF(Activities!$E54&lt;&gt;"",ISNUMBER(SEARCH(",3,",","&amp;Activities!$E54&amp;",")),AND(Activities!$C54&lt;=3,Activities!$D54&gt;=3))),IF(Activities!$H54="Coaches","🌱 ",IF(Activities!$H54="Coordinators","⚙️ ",IF(Activities!$H54="Both","👥 ","")))&amp;Activities!$B54&amp;CHAR(10)&amp;REPT("●",Activities!$F54),"")</f>
        <v/>
      </c>
      <c r="F54" s="7" t="str">
        <f>IF(AND(Activities!$A54&lt;&gt;"",IF(Activities!$E54&lt;&gt;"",ISNUMBER(SEARCH(",4,",","&amp;Activities!$E54&amp;",")),AND(Activities!$C54&lt;=4,Activities!$D54&gt;=4))),IF(Activities!$H54="Coaches","🌱 ",IF(Activities!$H54="Coordinators","⚙️ ",IF(Activities!$H54="Both","👥 ","")))&amp;Activities!$B54&amp;CHAR(10)&amp;REPT("●",Activities!$F54),"")</f>
        <v/>
      </c>
      <c r="G54" s="7" t="str">
        <f>IF(AND(Activities!$A54&lt;&gt;"",IF(Activities!$E54&lt;&gt;"",ISNUMBER(SEARCH(",5,",","&amp;Activities!$E54&amp;",")),AND(Activities!$C54&lt;=5,Activities!$D54&gt;=5))),IF(Activities!$H54="Coaches","🌱 ",IF(Activities!$H54="Coordinators","⚙️ ",IF(Activities!$H54="Both","👥 ","")))&amp;Activities!$B54&amp;CHAR(10)&amp;REPT("●",Activities!$F54),"")</f>
        <v/>
      </c>
      <c r="H54" s="7" t="str">
        <f>IF(AND(Activities!$A54&lt;&gt;"",IF(Activities!$E54&lt;&gt;"",ISNUMBER(SEARCH(",6,",","&amp;Activities!$E54&amp;",")),AND(Activities!$C54&lt;=6,Activities!$D54&gt;=6))),IF(Activities!$H54="Coaches","🌱 ",IF(Activities!$H54="Coordinators","⚙️ ",IF(Activities!$H54="Both","👥 ","")))&amp;Activities!$B54&amp;CHAR(10)&amp;REPT("●",Activities!$F54),"")</f>
        <v/>
      </c>
      <c r="I54" s="7" t="str">
        <f>IF(AND(Activities!$A54&lt;&gt;"",IF(Activities!$E54&lt;&gt;"",ISNUMBER(SEARCH(",7,",","&amp;Activities!$E54&amp;",")),AND(Activities!$C54&lt;=7,Activities!$D54&gt;=7))),IF(Activities!$H54="Coaches","🌱 ",IF(Activities!$H54="Coordinators","⚙️ ",IF(Activities!$H54="Both","👥 ","")))&amp;Activities!$B54&amp;CHAR(10)&amp;REPT("●",Activities!$F54),"")</f>
        <v/>
      </c>
      <c r="J54" s="7" t="str">
        <f>IF(AND(Activities!$A54&lt;&gt;"",IF(Activities!$E54&lt;&gt;"",ISNUMBER(SEARCH(",8,",","&amp;Activities!$E54&amp;",")),AND(Activities!$C54&lt;=8,Activities!$D54&gt;=8))),IF(Activities!$H54="Coaches","🌱 ",IF(Activities!$H54="Coordinators","⚙️ ",IF(Activities!$H54="Both","👥 ","")))&amp;Activities!$B54&amp;CHAR(10)&amp;REPT("●",Activities!$F54),"")</f>
        <v/>
      </c>
      <c r="K54" s="7" t="str">
        <f>IF(AND(Activities!$A54&lt;&gt;"",IF(Activities!$E54&lt;&gt;"",ISNUMBER(SEARCH(",9,",","&amp;Activities!$E54&amp;",")),AND(Activities!$C54&lt;=9,Activities!$D54&gt;=9))),IF(Activities!$H54="Coaches","🌱 ",IF(Activities!$H54="Coordinators","⚙️ ",IF(Activities!$H54="Both","👥 ","")))&amp;Activities!$B54&amp;CHAR(10)&amp;REPT("●",Activities!$F54),"")</f>
        <v/>
      </c>
      <c r="L54" s="7" t="str">
        <f>IF(AND(Activities!$A54&lt;&gt;"",IF(Activities!$E54&lt;&gt;"",ISNUMBER(SEARCH(",10,",","&amp;Activities!$E54&amp;",")),AND(Activities!$C54&lt;=10,Activities!$D54&gt;=10))),IF(Activities!$H54="Coaches","🌱 ",IF(Activities!$H54="Coordinators","⚙️ ",IF(Activities!$H54="Both","👥 ","")))&amp;Activities!$B54&amp;CHAR(10)&amp;REPT("●",Activities!$F54),"")</f>
        <v/>
      </c>
      <c r="M54" s="7" t="str">
        <f>IF(AND(Activities!$A54&lt;&gt;"",IF(Activities!$E54&lt;&gt;"",ISNUMBER(SEARCH(",11,",","&amp;Activities!$E54&amp;",")),AND(Activities!$C54&lt;=11,Activities!$D54&gt;=11))),IF(Activities!$H54="Coaches","🌱 ",IF(Activities!$H54="Coordinators","⚙️ ",IF(Activities!$H54="Both","👥 ","")))&amp;Activities!$B54&amp;CHAR(10)&amp;REPT("●",Activities!$F54),"")</f>
        <v/>
      </c>
      <c r="N54" s="7" t="str">
        <f>IF(AND(Activities!$A54&lt;&gt;"",IF(Activities!$E54&lt;&gt;"",ISNUMBER(SEARCH(",12,",","&amp;Activities!$E54&amp;",")),AND(Activities!$C54&lt;=12,Activities!$D54&gt;=12))),IF(Activities!$H54="Coaches","🌱 ",IF(Activities!$H54="Coordinators","⚙️ ",IF(Activities!$H54="Both","👥 ","")))&amp;Activities!$B54&amp;CHAR(10)&amp;REPT("●",Activities!$F54),"")</f>
        <v/>
      </c>
    </row>
    <row r="55" spans="1:14" s="8" customFormat="1" ht="20">
      <c r="A55" s="14" t="str">
        <f>IF(Activities!$A56&lt;&gt;"",Activities!$A56,"")</f>
        <v/>
      </c>
      <c r="B55" s="7" t="str">
        <f>IF(Activities!$B56&lt;&gt;"",Activities!$B56,"")</f>
        <v/>
      </c>
      <c r="C55" s="7" t="str">
        <f>IF(AND(Activities!$A56&lt;&gt;"",IF(Activities!$E56&lt;&gt;"",ISNUMBER(SEARCH(",1,",","&amp;Activities!$E56&amp;",")),AND(Activities!$C56&lt;=1,Activities!$D56&gt;=1))),IF(Activities!$H56="Coaches","🌱 ",IF(Activities!$H56="Coordinators","⚙️ ",IF(Activities!$H56="Both","👥 ","")))&amp;Activities!$B56&amp;CHAR(10)&amp;REPT("●",Activities!$F56),"")</f>
        <v/>
      </c>
      <c r="D55" s="7" t="str">
        <f>IF(AND(Activities!$A56&lt;&gt;"",IF(Activities!$E56&lt;&gt;"",ISNUMBER(SEARCH(",2,",","&amp;Activities!$E56&amp;",")),AND(Activities!$C56&lt;=2,Activities!$D56&gt;=2))),IF(Activities!$H56="Coaches","🌱 ",IF(Activities!$H56="Coordinators","⚙️ ",IF(Activities!$H56="Both","👥 ","")))&amp;Activities!$B56&amp;CHAR(10)&amp;REPT("●",Activities!$F56),"")</f>
        <v/>
      </c>
      <c r="E55" s="7" t="str">
        <f>IF(AND(Activities!$A56&lt;&gt;"",IF(Activities!$E56&lt;&gt;"",ISNUMBER(SEARCH(",3,",","&amp;Activities!$E56&amp;",")),AND(Activities!$C56&lt;=3,Activities!$D56&gt;=3))),IF(Activities!$H56="Coaches","🌱 ",IF(Activities!$H56="Coordinators","⚙️ ",IF(Activities!$H56="Both","👥 ","")))&amp;Activities!$B56&amp;CHAR(10)&amp;REPT("●",Activities!$F56),"")</f>
        <v/>
      </c>
      <c r="F55" s="7" t="str">
        <f>IF(AND(Activities!$A56&lt;&gt;"",IF(Activities!$E56&lt;&gt;"",ISNUMBER(SEARCH(",4,",","&amp;Activities!$E56&amp;",")),AND(Activities!$C56&lt;=4,Activities!$D56&gt;=4))),IF(Activities!$H56="Coaches","🌱 ",IF(Activities!$H56="Coordinators","⚙️ ",IF(Activities!$H56="Both","👥 ","")))&amp;Activities!$B56&amp;CHAR(10)&amp;REPT("●",Activities!$F56),"")</f>
        <v/>
      </c>
      <c r="G55" s="7" t="str">
        <f>IF(AND(Activities!$A56&lt;&gt;"",IF(Activities!$E56&lt;&gt;"",ISNUMBER(SEARCH(",5,",","&amp;Activities!$E56&amp;",")),AND(Activities!$C56&lt;=5,Activities!$D56&gt;=5))),IF(Activities!$H56="Coaches","🌱 ",IF(Activities!$H56="Coordinators","⚙️ ",IF(Activities!$H56="Both","👥 ","")))&amp;Activities!$B56&amp;CHAR(10)&amp;REPT("●",Activities!$F56),"")</f>
        <v/>
      </c>
      <c r="H55" s="7" t="str">
        <f>IF(AND(Activities!$A56&lt;&gt;"",IF(Activities!$E56&lt;&gt;"",ISNUMBER(SEARCH(",6,",","&amp;Activities!$E56&amp;",")),AND(Activities!$C56&lt;=6,Activities!$D56&gt;=6))),IF(Activities!$H56="Coaches","🌱 ",IF(Activities!$H56="Coordinators","⚙️ ",IF(Activities!$H56="Both","👥 ","")))&amp;Activities!$B56&amp;CHAR(10)&amp;REPT("●",Activities!$F56),"")</f>
        <v/>
      </c>
      <c r="I55" s="7" t="str">
        <f>IF(AND(Activities!$A56&lt;&gt;"",IF(Activities!$E56&lt;&gt;"",ISNUMBER(SEARCH(",7,",","&amp;Activities!$E56&amp;",")),AND(Activities!$C56&lt;=7,Activities!$D56&gt;=7))),IF(Activities!$H56="Coaches","🌱 ",IF(Activities!$H56="Coordinators","⚙️ ",IF(Activities!$H56="Both","👥 ","")))&amp;Activities!$B56&amp;CHAR(10)&amp;REPT("●",Activities!$F56),"")</f>
        <v/>
      </c>
      <c r="J55" s="7" t="str">
        <f>IF(AND(Activities!$A56&lt;&gt;"",IF(Activities!$E56&lt;&gt;"",ISNUMBER(SEARCH(",8,",","&amp;Activities!$E56&amp;",")),AND(Activities!$C56&lt;=8,Activities!$D56&gt;=8))),IF(Activities!$H56="Coaches","🌱 ",IF(Activities!$H56="Coordinators","⚙️ ",IF(Activities!$H56="Both","👥 ","")))&amp;Activities!$B56&amp;CHAR(10)&amp;REPT("●",Activities!$F56),"")</f>
        <v/>
      </c>
      <c r="K55" s="7" t="str">
        <f>IF(AND(Activities!$A56&lt;&gt;"",IF(Activities!$E56&lt;&gt;"",ISNUMBER(SEARCH(",9,",","&amp;Activities!$E56&amp;",")),AND(Activities!$C56&lt;=9,Activities!$D56&gt;=9))),IF(Activities!$H56="Coaches","🌱 ",IF(Activities!$H56="Coordinators","⚙️ ",IF(Activities!$H56="Both","👥 ","")))&amp;Activities!$B56&amp;CHAR(10)&amp;REPT("●",Activities!$F56),"")</f>
        <v/>
      </c>
      <c r="L55" s="7" t="str">
        <f>IF(AND(Activities!$A56&lt;&gt;"",IF(Activities!$E56&lt;&gt;"",ISNUMBER(SEARCH(",10,",","&amp;Activities!$E56&amp;",")),AND(Activities!$C56&lt;=10,Activities!$D56&gt;=10))),IF(Activities!$H56="Coaches","🌱 ",IF(Activities!$H56="Coordinators","⚙️ ",IF(Activities!$H56="Both","👥 ","")))&amp;Activities!$B56&amp;CHAR(10)&amp;REPT("●",Activities!$F56),"")</f>
        <v/>
      </c>
      <c r="M55" s="7" t="str">
        <f>IF(AND(Activities!$A56&lt;&gt;"",IF(Activities!$E56&lt;&gt;"",ISNUMBER(SEARCH(",11,",","&amp;Activities!$E56&amp;",")),AND(Activities!$C56&lt;=11,Activities!$D56&gt;=11))),IF(Activities!$H56="Coaches","🌱 ",IF(Activities!$H56="Coordinators","⚙️ ",IF(Activities!$H56="Both","👥 ","")))&amp;Activities!$B56&amp;CHAR(10)&amp;REPT("●",Activities!$F56),"")</f>
        <v/>
      </c>
      <c r="N55" s="7" t="str">
        <f>IF(AND(Activities!$A56&lt;&gt;"",IF(Activities!$E56&lt;&gt;"",ISNUMBER(SEARCH(",12,",","&amp;Activities!$E56&amp;",")),AND(Activities!$C56&lt;=12,Activities!$D56&gt;=12))),IF(Activities!$H56="Coaches","🌱 ",IF(Activities!$H56="Coordinators","⚙️ ",IF(Activities!$H56="Both","👥 ","")))&amp;Activities!$B56&amp;CHAR(10)&amp;REPT("●",Activities!$F56),"")</f>
        <v/>
      </c>
    </row>
    <row r="56" spans="1:14" s="8" customFormat="1" ht="20">
      <c r="A56" s="14" t="str">
        <f>IF(Activities!$A57&lt;&gt;"",Activities!$A57,"")</f>
        <v/>
      </c>
      <c r="B56" s="7" t="str">
        <f>IF(Activities!$B57&lt;&gt;"",Activities!$B57,"")</f>
        <v/>
      </c>
      <c r="C56" s="7" t="str">
        <f>IF(AND(Activities!$A57&lt;&gt;"",IF(Activities!$E57&lt;&gt;"",ISNUMBER(SEARCH(",1,",","&amp;Activities!$E57&amp;",")),AND(Activities!$C57&lt;=1,Activities!$D57&gt;=1))),IF(Activities!$H57="Coaches","🌱 ",IF(Activities!$H57="Coordinators","⚙️ ",IF(Activities!$H57="Both","👥 ","")))&amp;Activities!$B57&amp;CHAR(10)&amp;REPT("●",Activities!$F57),"")</f>
        <v/>
      </c>
      <c r="D56" s="7" t="str">
        <f>IF(AND(Activities!$A57&lt;&gt;"",IF(Activities!$E57&lt;&gt;"",ISNUMBER(SEARCH(",2,",","&amp;Activities!$E57&amp;",")),AND(Activities!$C57&lt;=2,Activities!$D57&gt;=2))),IF(Activities!$H57="Coaches","🌱 ",IF(Activities!$H57="Coordinators","⚙️ ",IF(Activities!$H57="Both","👥 ","")))&amp;Activities!$B57&amp;CHAR(10)&amp;REPT("●",Activities!$F57),"")</f>
        <v/>
      </c>
      <c r="E56" s="7" t="str">
        <f>IF(AND(Activities!$A57&lt;&gt;"",IF(Activities!$E57&lt;&gt;"",ISNUMBER(SEARCH(",3,",","&amp;Activities!$E57&amp;",")),AND(Activities!$C57&lt;=3,Activities!$D57&gt;=3))),IF(Activities!$H57="Coaches","🌱 ",IF(Activities!$H57="Coordinators","⚙️ ",IF(Activities!$H57="Both","👥 ","")))&amp;Activities!$B57&amp;CHAR(10)&amp;REPT("●",Activities!$F57),"")</f>
        <v/>
      </c>
      <c r="F56" s="7" t="str">
        <f>IF(AND(Activities!$A57&lt;&gt;"",IF(Activities!$E57&lt;&gt;"",ISNUMBER(SEARCH(",4,",","&amp;Activities!$E57&amp;",")),AND(Activities!$C57&lt;=4,Activities!$D57&gt;=4))),IF(Activities!$H57="Coaches","🌱 ",IF(Activities!$H57="Coordinators","⚙️ ",IF(Activities!$H57="Both","👥 ","")))&amp;Activities!$B57&amp;CHAR(10)&amp;REPT("●",Activities!$F57),"")</f>
        <v/>
      </c>
      <c r="G56" s="7" t="str">
        <f>IF(AND(Activities!$A57&lt;&gt;"",IF(Activities!$E57&lt;&gt;"",ISNUMBER(SEARCH(",5,",","&amp;Activities!$E57&amp;",")),AND(Activities!$C57&lt;=5,Activities!$D57&gt;=5))),IF(Activities!$H57="Coaches","🌱 ",IF(Activities!$H57="Coordinators","⚙️ ",IF(Activities!$H57="Both","👥 ","")))&amp;Activities!$B57&amp;CHAR(10)&amp;REPT("●",Activities!$F57),"")</f>
        <v/>
      </c>
      <c r="H56" s="7" t="str">
        <f>IF(AND(Activities!$A57&lt;&gt;"",IF(Activities!$E57&lt;&gt;"",ISNUMBER(SEARCH(",6,",","&amp;Activities!$E57&amp;",")),AND(Activities!$C57&lt;=6,Activities!$D57&gt;=6))),IF(Activities!$H57="Coaches","🌱 ",IF(Activities!$H57="Coordinators","⚙️ ",IF(Activities!$H57="Both","👥 ","")))&amp;Activities!$B57&amp;CHAR(10)&amp;REPT("●",Activities!$F57),"")</f>
        <v/>
      </c>
      <c r="I56" s="7" t="str">
        <f>IF(AND(Activities!$A57&lt;&gt;"",IF(Activities!$E57&lt;&gt;"",ISNUMBER(SEARCH(",7,",","&amp;Activities!$E57&amp;",")),AND(Activities!$C57&lt;=7,Activities!$D57&gt;=7))),IF(Activities!$H57="Coaches","🌱 ",IF(Activities!$H57="Coordinators","⚙️ ",IF(Activities!$H57="Both","👥 ","")))&amp;Activities!$B57&amp;CHAR(10)&amp;REPT("●",Activities!$F57),"")</f>
        <v/>
      </c>
      <c r="J56" s="7" t="str">
        <f>IF(AND(Activities!$A57&lt;&gt;"",IF(Activities!$E57&lt;&gt;"",ISNUMBER(SEARCH(",8,",","&amp;Activities!$E57&amp;",")),AND(Activities!$C57&lt;=8,Activities!$D57&gt;=8))),IF(Activities!$H57="Coaches","🌱 ",IF(Activities!$H57="Coordinators","⚙️ ",IF(Activities!$H57="Both","👥 ","")))&amp;Activities!$B57&amp;CHAR(10)&amp;REPT("●",Activities!$F57),"")</f>
        <v/>
      </c>
      <c r="K56" s="7" t="str">
        <f>IF(AND(Activities!$A57&lt;&gt;"",IF(Activities!$E57&lt;&gt;"",ISNUMBER(SEARCH(",9,",","&amp;Activities!$E57&amp;",")),AND(Activities!$C57&lt;=9,Activities!$D57&gt;=9))),IF(Activities!$H57="Coaches","🌱 ",IF(Activities!$H57="Coordinators","⚙️ ",IF(Activities!$H57="Both","👥 ","")))&amp;Activities!$B57&amp;CHAR(10)&amp;REPT("●",Activities!$F57),"")</f>
        <v/>
      </c>
      <c r="L56" s="7" t="str">
        <f>IF(AND(Activities!$A57&lt;&gt;"",IF(Activities!$E57&lt;&gt;"",ISNUMBER(SEARCH(",10,",","&amp;Activities!$E57&amp;",")),AND(Activities!$C57&lt;=10,Activities!$D57&gt;=10))),IF(Activities!$H57="Coaches","🌱 ",IF(Activities!$H57="Coordinators","⚙️ ",IF(Activities!$H57="Both","👥 ","")))&amp;Activities!$B57&amp;CHAR(10)&amp;REPT("●",Activities!$F57),"")</f>
        <v/>
      </c>
      <c r="M56" s="7" t="str">
        <f>IF(AND(Activities!$A57&lt;&gt;"",IF(Activities!$E57&lt;&gt;"",ISNUMBER(SEARCH(",11,",","&amp;Activities!$E57&amp;",")),AND(Activities!$C57&lt;=11,Activities!$D57&gt;=11))),IF(Activities!$H57="Coaches","🌱 ",IF(Activities!$H57="Coordinators","⚙️ ",IF(Activities!$H57="Both","👥 ","")))&amp;Activities!$B57&amp;CHAR(10)&amp;REPT("●",Activities!$F57),"")</f>
        <v/>
      </c>
      <c r="N56" s="7" t="str">
        <f>IF(AND(Activities!$A57&lt;&gt;"",IF(Activities!$E57&lt;&gt;"",ISNUMBER(SEARCH(",12,",","&amp;Activities!$E57&amp;",")),AND(Activities!$C57&lt;=12,Activities!$D57&gt;=12))),IF(Activities!$H57="Coaches","🌱 ",IF(Activities!$H57="Coordinators","⚙️ ",IF(Activities!$H57="Both","👥 ","")))&amp;Activities!$B57&amp;CHAR(10)&amp;REPT("●",Activities!$F57),"")</f>
        <v/>
      </c>
    </row>
    <row r="57" spans="1:14" s="8" customFormat="1" ht="20">
      <c r="A57" s="14" t="str">
        <f>IF(Activities!$A58&lt;&gt;"",Activities!$A58,"")</f>
        <v/>
      </c>
      <c r="B57" s="7" t="str">
        <f>IF(Activities!$B58&lt;&gt;"",Activities!$B58,"")</f>
        <v/>
      </c>
      <c r="C57" s="7" t="str">
        <f>IF(AND(Activities!$A58&lt;&gt;"",IF(Activities!$E58&lt;&gt;"",ISNUMBER(SEARCH(",1,",","&amp;Activities!$E58&amp;",")),AND(Activities!$C58&lt;=1,Activities!$D58&gt;=1))),IF(Activities!$H58="Coaches","🌱 ",IF(Activities!$H58="Coordinators","⚙️ ",IF(Activities!$H58="Both","👥 ","")))&amp;Activities!$B58&amp;CHAR(10)&amp;REPT("●",Activities!$F58),"")</f>
        <v/>
      </c>
      <c r="D57" s="7" t="str">
        <f>IF(AND(Activities!$A58&lt;&gt;"",IF(Activities!$E58&lt;&gt;"",ISNUMBER(SEARCH(",2,",","&amp;Activities!$E58&amp;",")),AND(Activities!$C58&lt;=2,Activities!$D58&gt;=2))),IF(Activities!$H58="Coaches","🌱 ",IF(Activities!$H58="Coordinators","⚙️ ",IF(Activities!$H58="Both","👥 ","")))&amp;Activities!$B58&amp;CHAR(10)&amp;REPT("●",Activities!$F58),"")</f>
        <v/>
      </c>
      <c r="E57" s="7" t="str">
        <f>IF(AND(Activities!$A58&lt;&gt;"",IF(Activities!$E58&lt;&gt;"",ISNUMBER(SEARCH(",3,",","&amp;Activities!$E58&amp;",")),AND(Activities!$C58&lt;=3,Activities!$D58&gt;=3))),IF(Activities!$H58="Coaches","🌱 ",IF(Activities!$H58="Coordinators","⚙️ ",IF(Activities!$H58="Both","👥 ","")))&amp;Activities!$B58&amp;CHAR(10)&amp;REPT("●",Activities!$F58),"")</f>
        <v/>
      </c>
      <c r="F57" s="7" t="str">
        <f>IF(AND(Activities!$A58&lt;&gt;"",IF(Activities!$E58&lt;&gt;"",ISNUMBER(SEARCH(",4,",","&amp;Activities!$E58&amp;",")),AND(Activities!$C58&lt;=4,Activities!$D58&gt;=4))),IF(Activities!$H58="Coaches","🌱 ",IF(Activities!$H58="Coordinators","⚙️ ",IF(Activities!$H58="Both","👥 ","")))&amp;Activities!$B58&amp;CHAR(10)&amp;REPT("●",Activities!$F58),"")</f>
        <v/>
      </c>
      <c r="G57" s="7" t="str">
        <f>IF(AND(Activities!$A58&lt;&gt;"",IF(Activities!$E58&lt;&gt;"",ISNUMBER(SEARCH(",5,",","&amp;Activities!$E58&amp;",")),AND(Activities!$C58&lt;=5,Activities!$D58&gt;=5))),IF(Activities!$H58="Coaches","🌱 ",IF(Activities!$H58="Coordinators","⚙️ ",IF(Activities!$H58="Both","👥 ","")))&amp;Activities!$B58&amp;CHAR(10)&amp;REPT("●",Activities!$F58),"")</f>
        <v/>
      </c>
      <c r="H57" s="7" t="str">
        <f>IF(AND(Activities!$A58&lt;&gt;"",IF(Activities!$E58&lt;&gt;"",ISNUMBER(SEARCH(",6,",","&amp;Activities!$E58&amp;",")),AND(Activities!$C58&lt;=6,Activities!$D58&gt;=6))),IF(Activities!$H58="Coaches","🌱 ",IF(Activities!$H58="Coordinators","⚙️ ",IF(Activities!$H58="Both","👥 ","")))&amp;Activities!$B58&amp;CHAR(10)&amp;REPT("●",Activities!$F58),"")</f>
        <v/>
      </c>
      <c r="I57" s="7" t="str">
        <f>IF(AND(Activities!$A58&lt;&gt;"",IF(Activities!$E58&lt;&gt;"",ISNUMBER(SEARCH(",7,",","&amp;Activities!$E58&amp;",")),AND(Activities!$C58&lt;=7,Activities!$D58&gt;=7))),IF(Activities!$H58="Coaches","🌱 ",IF(Activities!$H58="Coordinators","⚙️ ",IF(Activities!$H58="Both","👥 ","")))&amp;Activities!$B58&amp;CHAR(10)&amp;REPT("●",Activities!$F58),"")</f>
        <v/>
      </c>
      <c r="J57" s="7" t="str">
        <f>IF(AND(Activities!$A58&lt;&gt;"",IF(Activities!$E58&lt;&gt;"",ISNUMBER(SEARCH(",8,",","&amp;Activities!$E58&amp;",")),AND(Activities!$C58&lt;=8,Activities!$D58&gt;=8))),IF(Activities!$H58="Coaches","🌱 ",IF(Activities!$H58="Coordinators","⚙️ ",IF(Activities!$H58="Both","👥 ","")))&amp;Activities!$B58&amp;CHAR(10)&amp;REPT("●",Activities!$F58),"")</f>
        <v/>
      </c>
      <c r="K57" s="7" t="str">
        <f>IF(AND(Activities!$A58&lt;&gt;"",IF(Activities!$E58&lt;&gt;"",ISNUMBER(SEARCH(",9,",","&amp;Activities!$E58&amp;",")),AND(Activities!$C58&lt;=9,Activities!$D58&gt;=9))),IF(Activities!$H58="Coaches","🌱 ",IF(Activities!$H58="Coordinators","⚙️ ",IF(Activities!$H58="Both","👥 ","")))&amp;Activities!$B58&amp;CHAR(10)&amp;REPT("●",Activities!$F58),"")</f>
        <v/>
      </c>
      <c r="L57" s="7" t="str">
        <f>IF(AND(Activities!$A58&lt;&gt;"",IF(Activities!$E58&lt;&gt;"",ISNUMBER(SEARCH(",10,",","&amp;Activities!$E58&amp;",")),AND(Activities!$C58&lt;=10,Activities!$D58&gt;=10))),IF(Activities!$H58="Coaches","🌱 ",IF(Activities!$H58="Coordinators","⚙️ ",IF(Activities!$H58="Both","👥 ","")))&amp;Activities!$B58&amp;CHAR(10)&amp;REPT("●",Activities!$F58),"")</f>
        <v/>
      </c>
      <c r="M57" s="7" t="str">
        <f>IF(AND(Activities!$A58&lt;&gt;"",IF(Activities!$E58&lt;&gt;"",ISNUMBER(SEARCH(",11,",","&amp;Activities!$E58&amp;",")),AND(Activities!$C58&lt;=11,Activities!$D58&gt;=11))),IF(Activities!$H58="Coaches","🌱 ",IF(Activities!$H58="Coordinators","⚙️ ",IF(Activities!$H58="Both","👥 ","")))&amp;Activities!$B58&amp;CHAR(10)&amp;REPT("●",Activities!$F58),"")</f>
        <v/>
      </c>
      <c r="N57" s="7" t="str">
        <f>IF(AND(Activities!$A58&lt;&gt;"",IF(Activities!$E58&lt;&gt;"",ISNUMBER(SEARCH(",12,",","&amp;Activities!$E58&amp;",")),AND(Activities!$C58&lt;=12,Activities!$D58&gt;=12))),IF(Activities!$H58="Coaches","🌱 ",IF(Activities!$H58="Coordinators","⚙️ ",IF(Activities!$H58="Both","👥 ","")))&amp;Activities!$B58&amp;CHAR(10)&amp;REPT("●",Activities!$F58),"")</f>
        <v/>
      </c>
    </row>
    <row r="58" spans="1:14" s="8" customFormat="1" ht="20">
      <c r="A58" s="14" t="str">
        <f>IF(Activities!$A59&lt;&gt;"",Activities!$A59,"")</f>
        <v/>
      </c>
      <c r="B58" s="7" t="str">
        <f>IF(Activities!$B59&lt;&gt;"",Activities!$B59,"")</f>
        <v/>
      </c>
      <c r="C58" s="7" t="str">
        <f>IF(AND(Activities!$A59&lt;&gt;"",IF(Activities!$E59&lt;&gt;"",ISNUMBER(SEARCH(",1,",","&amp;Activities!$E59&amp;",")),AND(Activities!$C59&lt;=1,Activities!$D59&gt;=1))),IF(Activities!$H59="Coaches","🌱 ",IF(Activities!$H59="Coordinators","⚙️ ",IF(Activities!$H59="Both","👥 ","")))&amp;Activities!$B59&amp;CHAR(10)&amp;REPT("●",Activities!$F59),"")</f>
        <v/>
      </c>
      <c r="D58" s="7" t="str">
        <f>IF(AND(Activities!$A59&lt;&gt;"",IF(Activities!$E59&lt;&gt;"",ISNUMBER(SEARCH(",2,",","&amp;Activities!$E59&amp;",")),AND(Activities!$C59&lt;=2,Activities!$D59&gt;=2))),IF(Activities!$H59="Coaches","🌱 ",IF(Activities!$H59="Coordinators","⚙️ ",IF(Activities!$H59="Both","👥 ","")))&amp;Activities!$B59&amp;CHAR(10)&amp;REPT("●",Activities!$F59),"")</f>
        <v/>
      </c>
      <c r="E58" s="7" t="str">
        <f>IF(AND(Activities!$A59&lt;&gt;"",IF(Activities!$E59&lt;&gt;"",ISNUMBER(SEARCH(",3,",","&amp;Activities!$E59&amp;",")),AND(Activities!$C59&lt;=3,Activities!$D59&gt;=3))),IF(Activities!$H59="Coaches","🌱 ",IF(Activities!$H59="Coordinators","⚙️ ",IF(Activities!$H59="Both","👥 ","")))&amp;Activities!$B59&amp;CHAR(10)&amp;REPT("●",Activities!$F59),"")</f>
        <v/>
      </c>
      <c r="F58" s="7" t="str">
        <f>IF(AND(Activities!$A59&lt;&gt;"",IF(Activities!$E59&lt;&gt;"",ISNUMBER(SEARCH(",4,",","&amp;Activities!$E59&amp;",")),AND(Activities!$C59&lt;=4,Activities!$D59&gt;=4))),IF(Activities!$H59="Coaches","🌱 ",IF(Activities!$H59="Coordinators","⚙️ ",IF(Activities!$H59="Both","👥 ","")))&amp;Activities!$B59&amp;CHAR(10)&amp;REPT("●",Activities!$F59),"")</f>
        <v/>
      </c>
      <c r="G58" s="7" t="str">
        <f>IF(AND(Activities!$A59&lt;&gt;"",IF(Activities!$E59&lt;&gt;"",ISNUMBER(SEARCH(",5,",","&amp;Activities!$E59&amp;",")),AND(Activities!$C59&lt;=5,Activities!$D59&gt;=5))),IF(Activities!$H59="Coaches","🌱 ",IF(Activities!$H59="Coordinators","⚙️ ",IF(Activities!$H59="Both","👥 ","")))&amp;Activities!$B59&amp;CHAR(10)&amp;REPT("●",Activities!$F59),"")</f>
        <v/>
      </c>
      <c r="H58" s="7" t="str">
        <f>IF(AND(Activities!$A59&lt;&gt;"",IF(Activities!$E59&lt;&gt;"",ISNUMBER(SEARCH(",6,",","&amp;Activities!$E59&amp;",")),AND(Activities!$C59&lt;=6,Activities!$D59&gt;=6))),IF(Activities!$H59="Coaches","🌱 ",IF(Activities!$H59="Coordinators","⚙️ ",IF(Activities!$H59="Both","👥 ","")))&amp;Activities!$B59&amp;CHAR(10)&amp;REPT("●",Activities!$F59),"")</f>
        <v/>
      </c>
      <c r="I58" s="7" t="str">
        <f>IF(AND(Activities!$A59&lt;&gt;"",IF(Activities!$E59&lt;&gt;"",ISNUMBER(SEARCH(",7,",","&amp;Activities!$E59&amp;",")),AND(Activities!$C59&lt;=7,Activities!$D59&gt;=7))),IF(Activities!$H59="Coaches","🌱 ",IF(Activities!$H59="Coordinators","⚙️ ",IF(Activities!$H59="Both","👥 ","")))&amp;Activities!$B59&amp;CHAR(10)&amp;REPT("●",Activities!$F59),"")</f>
        <v/>
      </c>
      <c r="J58" s="7" t="str">
        <f>IF(AND(Activities!$A59&lt;&gt;"",IF(Activities!$E59&lt;&gt;"",ISNUMBER(SEARCH(",8,",","&amp;Activities!$E59&amp;",")),AND(Activities!$C59&lt;=8,Activities!$D59&gt;=8))),IF(Activities!$H59="Coaches","🌱 ",IF(Activities!$H59="Coordinators","⚙️ ",IF(Activities!$H59="Both","👥 ","")))&amp;Activities!$B59&amp;CHAR(10)&amp;REPT("●",Activities!$F59),"")</f>
        <v/>
      </c>
      <c r="K58" s="7" t="str">
        <f>IF(AND(Activities!$A59&lt;&gt;"",IF(Activities!$E59&lt;&gt;"",ISNUMBER(SEARCH(",9,",","&amp;Activities!$E59&amp;",")),AND(Activities!$C59&lt;=9,Activities!$D59&gt;=9))),IF(Activities!$H59="Coaches","🌱 ",IF(Activities!$H59="Coordinators","⚙️ ",IF(Activities!$H59="Both","👥 ","")))&amp;Activities!$B59&amp;CHAR(10)&amp;REPT("●",Activities!$F59),"")</f>
        <v/>
      </c>
      <c r="L58" s="7" t="str">
        <f>IF(AND(Activities!$A59&lt;&gt;"",IF(Activities!$E59&lt;&gt;"",ISNUMBER(SEARCH(",10,",","&amp;Activities!$E59&amp;",")),AND(Activities!$C59&lt;=10,Activities!$D59&gt;=10))),IF(Activities!$H59="Coaches","🌱 ",IF(Activities!$H59="Coordinators","⚙️ ",IF(Activities!$H59="Both","👥 ","")))&amp;Activities!$B59&amp;CHAR(10)&amp;REPT("●",Activities!$F59),"")</f>
        <v/>
      </c>
      <c r="M58" s="7" t="str">
        <f>IF(AND(Activities!$A59&lt;&gt;"",IF(Activities!$E59&lt;&gt;"",ISNUMBER(SEARCH(",11,",","&amp;Activities!$E59&amp;",")),AND(Activities!$C59&lt;=11,Activities!$D59&gt;=11))),IF(Activities!$H59="Coaches","🌱 ",IF(Activities!$H59="Coordinators","⚙️ ",IF(Activities!$H59="Both","👥 ","")))&amp;Activities!$B59&amp;CHAR(10)&amp;REPT("●",Activities!$F59),"")</f>
        <v/>
      </c>
      <c r="N58" s="7" t="str">
        <f>IF(AND(Activities!$A59&lt;&gt;"",IF(Activities!$E59&lt;&gt;"",ISNUMBER(SEARCH(",12,",","&amp;Activities!$E59&amp;",")),AND(Activities!$C59&lt;=12,Activities!$D59&gt;=12))),IF(Activities!$H59="Coaches","🌱 ",IF(Activities!$H59="Coordinators","⚙️ ",IF(Activities!$H59="Both","👥 ","")))&amp;Activities!$B59&amp;CHAR(10)&amp;REPT("●",Activities!$F59),"")</f>
        <v/>
      </c>
    </row>
    <row r="59" spans="1:14" s="8" customFormat="1" ht="20">
      <c r="A59" s="14" t="str">
        <f>IF(Activities!$A60&lt;&gt;"",Activities!$A60,"")</f>
        <v/>
      </c>
      <c r="B59" s="7" t="str">
        <f>IF(Activities!$B60&lt;&gt;"",Activities!$B60,"")</f>
        <v/>
      </c>
      <c r="C59" s="7" t="str">
        <f>IF(AND(Activities!$A60&lt;&gt;"",IF(Activities!$E60&lt;&gt;"",ISNUMBER(SEARCH(",1,",","&amp;Activities!$E60&amp;",")),AND(Activities!$C60&lt;=1,Activities!$D60&gt;=1))),IF(Activities!$H60="Coaches","🌱 ",IF(Activities!$H60="Coordinators","⚙️ ",IF(Activities!$H60="Both","👥 ","")))&amp;Activities!$B60&amp;CHAR(10)&amp;REPT("●",Activities!$F60),"")</f>
        <v/>
      </c>
      <c r="D59" s="7" t="str">
        <f>IF(AND(Activities!$A60&lt;&gt;"",IF(Activities!$E60&lt;&gt;"",ISNUMBER(SEARCH(",2,",","&amp;Activities!$E60&amp;",")),AND(Activities!$C60&lt;=2,Activities!$D60&gt;=2))),IF(Activities!$H60="Coaches","🌱 ",IF(Activities!$H60="Coordinators","⚙️ ",IF(Activities!$H60="Both","👥 ","")))&amp;Activities!$B60&amp;CHAR(10)&amp;REPT("●",Activities!$F60),"")</f>
        <v/>
      </c>
      <c r="E59" s="7" t="str">
        <f>IF(AND(Activities!$A60&lt;&gt;"",IF(Activities!$E60&lt;&gt;"",ISNUMBER(SEARCH(",3,",","&amp;Activities!$E60&amp;",")),AND(Activities!$C60&lt;=3,Activities!$D60&gt;=3))),IF(Activities!$H60="Coaches","🌱 ",IF(Activities!$H60="Coordinators","⚙️ ",IF(Activities!$H60="Both","👥 ","")))&amp;Activities!$B60&amp;CHAR(10)&amp;REPT("●",Activities!$F60),"")</f>
        <v/>
      </c>
      <c r="F59" s="7" t="str">
        <f>IF(AND(Activities!$A60&lt;&gt;"",IF(Activities!$E60&lt;&gt;"",ISNUMBER(SEARCH(",4,",","&amp;Activities!$E60&amp;",")),AND(Activities!$C60&lt;=4,Activities!$D60&gt;=4))),IF(Activities!$H60="Coaches","🌱 ",IF(Activities!$H60="Coordinators","⚙️ ",IF(Activities!$H60="Both","👥 ","")))&amp;Activities!$B60&amp;CHAR(10)&amp;REPT("●",Activities!$F60),"")</f>
        <v/>
      </c>
      <c r="G59" s="7" t="str">
        <f>IF(AND(Activities!$A60&lt;&gt;"",IF(Activities!$E60&lt;&gt;"",ISNUMBER(SEARCH(",5,",","&amp;Activities!$E60&amp;",")),AND(Activities!$C60&lt;=5,Activities!$D60&gt;=5))),IF(Activities!$H60="Coaches","🌱 ",IF(Activities!$H60="Coordinators","⚙️ ",IF(Activities!$H60="Both","👥 ","")))&amp;Activities!$B60&amp;CHAR(10)&amp;REPT("●",Activities!$F60),"")</f>
        <v/>
      </c>
      <c r="H59" s="7" t="str">
        <f>IF(AND(Activities!$A60&lt;&gt;"",IF(Activities!$E60&lt;&gt;"",ISNUMBER(SEARCH(",6,",","&amp;Activities!$E60&amp;",")),AND(Activities!$C60&lt;=6,Activities!$D60&gt;=6))),IF(Activities!$H60="Coaches","🌱 ",IF(Activities!$H60="Coordinators","⚙️ ",IF(Activities!$H60="Both","👥 ","")))&amp;Activities!$B60&amp;CHAR(10)&amp;REPT("●",Activities!$F60),"")</f>
        <v/>
      </c>
      <c r="I59" s="7" t="str">
        <f>IF(AND(Activities!$A60&lt;&gt;"",IF(Activities!$E60&lt;&gt;"",ISNUMBER(SEARCH(",7,",","&amp;Activities!$E60&amp;",")),AND(Activities!$C60&lt;=7,Activities!$D60&gt;=7))),IF(Activities!$H60="Coaches","🌱 ",IF(Activities!$H60="Coordinators","⚙️ ",IF(Activities!$H60="Both","👥 ","")))&amp;Activities!$B60&amp;CHAR(10)&amp;REPT("●",Activities!$F60),"")</f>
        <v/>
      </c>
      <c r="J59" s="7" t="str">
        <f>IF(AND(Activities!$A60&lt;&gt;"",IF(Activities!$E60&lt;&gt;"",ISNUMBER(SEARCH(",8,",","&amp;Activities!$E60&amp;",")),AND(Activities!$C60&lt;=8,Activities!$D60&gt;=8))),IF(Activities!$H60="Coaches","🌱 ",IF(Activities!$H60="Coordinators","⚙️ ",IF(Activities!$H60="Both","👥 ","")))&amp;Activities!$B60&amp;CHAR(10)&amp;REPT("●",Activities!$F60),"")</f>
        <v/>
      </c>
      <c r="K59" s="7" t="str">
        <f>IF(AND(Activities!$A60&lt;&gt;"",IF(Activities!$E60&lt;&gt;"",ISNUMBER(SEARCH(",9,",","&amp;Activities!$E60&amp;",")),AND(Activities!$C60&lt;=9,Activities!$D60&gt;=9))),IF(Activities!$H60="Coaches","🌱 ",IF(Activities!$H60="Coordinators","⚙️ ",IF(Activities!$H60="Both","👥 ","")))&amp;Activities!$B60&amp;CHAR(10)&amp;REPT("●",Activities!$F60),"")</f>
        <v/>
      </c>
      <c r="L59" s="7" t="str">
        <f>IF(AND(Activities!$A60&lt;&gt;"",IF(Activities!$E60&lt;&gt;"",ISNUMBER(SEARCH(",10,",","&amp;Activities!$E60&amp;",")),AND(Activities!$C60&lt;=10,Activities!$D60&gt;=10))),IF(Activities!$H60="Coaches","🌱 ",IF(Activities!$H60="Coordinators","⚙️ ",IF(Activities!$H60="Both","👥 ","")))&amp;Activities!$B60&amp;CHAR(10)&amp;REPT("●",Activities!$F60),"")</f>
        <v/>
      </c>
      <c r="M59" s="7" t="str">
        <f>IF(AND(Activities!$A60&lt;&gt;"",IF(Activities!$E60&lt;&gt;"",ISNUMBER(SEARCH(",11,",","&amp;Activities!$E60&amp;",")),AND(Activities!$C60&lt;=11,Activities!$D60&gt;=11))),IF(Activities!$H60="Coaches","🌱 ",IF(Activities!$H60="Coordinators","⚙️ ",IF(Activities!$H60="Both","👥 ","")))&amp;Activities!$B60&amp;CHAR(10)&amp;REPT("●",Activities!$F60),"")</f>
        <v/>
      </c>
      <c r="N59" s="7" t="str">
        <f>IF(AND(Activities!$A60&lt;&gt;"",IF(Activities!$E60&lt;&gt;"",ISNUMBER(SEARCH(",12,",","&amp;Activities!$E60&amp;",")),AND(Activities!$C60&lt;=12,Activities!$D60&gt;=12))),IF(Activities!$H60="Coaches","🌱 ",IF(Activities!$H60="Coordinators","⚙️ ",IF(Activities!$H60="Both","👥 ","")))&amp;Activities!$B60&amp;CHAR(10)&amp;REPT("●",Activities!$F60),"")</f>
        <v/>
      </c>
    </row>
    <row r="60" spans="1:14" s="8" customFormat="1" ht="20">
      <c r="A60" s="14" t="str">
        <f>IF(Activities!$A61&lt;&gt;"",Activities!$A61,"")</f>
        <v/>
      </c>
      <c r="B60" s="7" t="str">
        <f>IF(Activities!$B61&lt;&gt;"",Activities!$B61,"")</f>
        <v/>
      </c>
      <c r="C60" s="7" t="str">
        <f>IF(AND(Activities!$A61&lt;&gt;"",IF(Activities!$E61&lt;&gt;"",ISNUMBER(SEARCH(",1,",","&amp;Activities!$E61&amp;",")),AND(Activities!$C61&lt;=1,Activities!$D61&gt;=1))),IF(Activities!$H61="Coaches","🌱 ",IF(Activities!$H61="Coordinators","⚙️ ",IF(Activities!$H61="Both","👥 ","")))&amp;Activities!$B61&amp;CHAR(10)&amp;REPT("●",Activities!$F61),"")</f>
        <v/>
      </c>
      <c r="D60" s="7" t="str">
        <f>IF(AND(Activities!$A61&lt;&gt;"",IF(Activities!$E61&lt;&gt;"",ISNUMBER(SEARCH(",2,",","&amp;Activities!$E61&amp;",")),AND(Activities!$C61&lt;=2,Activities!$D61&gt;=2))),IF(Activities!$H61="Coaches","🌱 ",IF(Activities!$H61="Coordinators","⚙️ ",IF(Activities!$H61="Both","👥 ","")))&amp;Activities!$B61&amp;CHAR(10)&amp;REPT("●",Activities!$F61),"")</f>
        <v/>
      </c>
      <c r="E60" s="7" t="str">
        <f>IF(AND(Activities!$A61&lt;&gt;"",IF(Activities!$E61&lt;&gt;"",ISNUMBER(SEARCH(",3,",","&amp;Activities!$E61&amp;",")),AND(Activities!$C61&lt;=3,Activities!$D61&gt;=3))),IF(Activities!$H61="Coaches","🌱 ",IF(Activities!$H61="Coordinators","⚙️ ",IF(Activities!$H61="Both","👥 ","")))&amp;Activities!$B61&amp;CHAR(10)&amp;REPT("●",Activities!$F61),"")</f>
        <v/>
      </c>
      <c r="F60" s="7" t="str">
        <f>IF(AND(Activities!$A61&lt;&gt;"",IF(Activities!$E61&lt;&gt;"",ISNUMBER(SEARCH(",4,",","&amp;Activities!$E61&amp;",")),AND(Activities!$C61&lt;=4,Activities!$D61&gt;=4))),IF(Activities!$H61="Coaches","🌱 ",IF(Activities!$H61="Coordinators","⚙️ ",IF(Activities!$H61="Both","👥 ","")))&amp;Activities!$B61&amp;CHAR(10)&amp;REPT("●",Activities!$F61),"")</f>
        <v/>
      </c>
      <c r="G60" s="7" t="str">
        <f>IF(AND(Activities!$A61&lt;&gt;"",IF(Activities!$E61&lt;&gt;"",ISNUMBER(SEARCH(",5,",","&amp;Activities!$E61&amp;",")),AND(Activities!$C61&lt;=5,Activities!$D61&gt;=5))),IF(Activities!$H61="Coaches","🌱 ",IF(Activities!$H61="Coordinators","⚙️ ",IF(Activities!$H61="Both","👥 ","")))&amp;Activities!$B61&amp;CHAR(10)&amp;REPT("●",Activities!$F61),"")</f>
        <v/>
      </c>
      <c r="H60" s="7" t="str">
        <f>IF(AND(Activities!$A61&lt;&gt;"",IF(Activities!$E61&lt;&gt;"",ISNUMBER(SEARCH(",6,",","&amp;Activities!$E61&amp;",")),AND(Activities!$C61&lt;=6,Activities!$D61&gt;=6))),IF(Activities!$H61="Coaches","🌱 ",IF(Activities!$H61="Coordinators","⚙️ ",IF(Activities!$H61="Both","👥 ","")))&amp;Activities!$B61&amp;CHAR(10)&amp;REPT("●",Activities!$F61),"")</f>
        <v/>
      </c>
      <c r="I60" s="7" t="str">
        <f>IF(AND(Activities!$A61&lt;&gt;"",IF(Activities!$E61&lt;&gt;"",ISNUMBER(SEARCH(",7,",","&amp;Activities!$E61&amp;",")),AND(Activities!$C61&lt;=7,Activities!$D61&gt;=7))),IF(Activities!$H61="Coaches","🌱 ",IF(Activities!$H61="Coordinators","⚙️ ",IF(Activities!$H61="Both","👥 ","")))&amp;Activities!$B61&amp;CHAR(10)&amp;REPT("●",Activities!$F61),"")</f>
        <v/>
      </c>
      <c r="J60" s="7" t="str">
        <f>IF(AND(Activities!$A61&lt;&gt;"",IF(Activities!$E61&lt;&gt;"",ISNUMBER(SEARCH(",8,",","&amp;Activities!$E61&amp;",")),AND(Activities!$C61&lt;=8,Activities!$D61&gt;=8))),IF(Activities!$H61="Coaches","🌱 ",IF(Activities!$H61="Coordinators","⚙️ ",IF(Activities!$H61="Both","👥 ","")))&amp;Activities!$B61&amp;CHAR(10)&amp;REPT("●",Activities!$F61),"")</f>
        <v/>
      </c>
      <c r="K60" s="7" t="str">
        <f>IF(AND(Activities!$A61&lt;&gt;"",IF(Activities!$E61&lt;&gt;"",ISNUMBER(SEARCH(",9,",","&amp;Activities!$E61&amp;",")),AND(Activities!$C61&lt;=9,Activities!$D61&gt;=9))),IF(Activities!$H61="Coaches","🌱 ",IF(Activities!$H61="Coordinators","⚙️ ",IF(Activities!$H61="Both","👥 ","")))&amp;Activities!$B61&amp;CHAR(10)&amp;REPT("●",Activities!$F61),"")</f>
        <v/>
      </c>
      <c r="L60" s="7" t="str">
        <f>IF(AND(Activities!$A61&lt;&gt;"",IF(Activities!$E61&lt;&gt;"",ISNUMBER(SEARCH(",10,",","&amp;Activities!$E61&amp;",")),AND(Activities!$C61&lt;=10,Activities!$D61&gt;=10))),IF(Activities!$H61="Coaches","🌱 ",IF(Activities!$H61="Coordinators","⚙️ ",IF(Activities!$H61="Both","👥 ","")))&amp;Activities!$B61&amp;CHAR(10)&amp;REPT("●",Activities!$F61),"")</f>
        <v/>
      </c>
      <c r="M60" s="7" t="str">
        <f>IF(AND(Activities!$A61&lt;&gt;"",IF(Activities!$E61&lt;&gt;"",ISNUMBER(SEARCH(",11,",","&amp;Activities!$E61&amp;",")),AND(Activities!$C61&lt;=11,Activities!$D61&gt;=11))),IF(Activities!$H61="Coaches","🌱 ",IF(Activities!$H61="Coordinators","⚙️ ",IF(Activities!$H61="Both","👥 ","")))&amp;Activities!$B61&amp;CHAR(10)&amp;REPT("●",Activities!$F61),"")</f>
        <v/>
      </c>
      <c r="N60" s="7" t="str">
        <f>IF(AND(Activities!$A61&lt;&gt;"",IF(Activities!$E61&lt;&gt;"",ISNUMBER(SEARCH(",12,",","&amp;Activities!$E61&amp;",")),AND(Activities!$C61&lt;=12,Activities!$D61&gt;=12))),IF(Activities!$H61="Coaches","🌱 ",IF(Activities!$H61="Coordinators","⚙️ ",IF(Activities!$H61="Both","👥 ","")))&amp;Activities!$B61&amp;CHAR(10)&amp;REPT("●",Activities!$F61),"")</f>
        <v/>
      </c>
    </row>
    <row r="61" spans="1:14" s="8" customFormat="1" ht="20">
      <c r="A61" s="14" t="str">
        <f>IF(Activities!$A62&lt;&gt;"",Activities!$A62,"")</f>
        <v/>
      </c>
      <c r="B61" s="7" t="str">
        <f>IF(Activities!$B62&lt;&gt;"",Activities!$B62,"")</f>
        <v/>
      </c>
      <c r="C61" s="7" t="str">
        <f>IF(AND(Activities!$A62&lt;&gt;"",IF(Activities!$E62&lt;&gt;"",ISNUMBER(SEARCH(",1,",","&amp;Activities!$E62&amp;",")),AND(Activities!$C62&lt;=1,Activities!$D62&gt;=1))),IF(Activities!$H62="Coaches","🌱 ",IF(Activities!$H62="Coordinators","⚙️ ",IF(Activities!$H62="Both","👥 ","")))&amp;Activities!$B62&amp;CHAR(10)&amp;REPT("●",Activities!$F62),"")</f>
        <v/>
      </c>
      <c r="D61" s="7" t="str">
        <f>IF(AND(Activities!$A62&lt;&gt;"",IF(Activities!$E62&lt;&gt;"",ISNUMBER(SEARCH(",2,",","&amp;Activities!$E62&amp;",")),AND(Activities!$C62&lt;=2,Activities!$D62&gt;=2))),IF(Activities!$H62="Coaches","🌱 ",IF(Activities!$H62="Coordinators","⚙️ ",IF(Activities!$H62="Both","👥 ","")))&amp;Activities!$B62&amp;CHAR(10)&amp;REPT("●",Activities!$F62),"")</f>
        <v/>
      </c>
      <c r="E61" s="7" t="str">
        <f>IF(AND(Activities!$A62&lt;&gt;"",IF(Activities!$E62&lt;&gt;"",ISNUMBER(SEARCH(",3,",","&amp;Activities!$E62&amp;",")),AND(Activities!$C62&lt;=3,Activities!$D62&gt;=3))),IF(Activities!$H62="Coaches","🌱 ",IF(Activities!$H62="Coordinators","⚙️ ",IF(Activities!$H62="Both","👥 ","")))&amp;Activities!$B62&amp;CHAR(10)&amp;REPT("●",Activities!$F62),"")</f>
        <v/>
      </c>
      <c r="F61" s="7" t="str">
        <f>IF(AND(Activities!$A62&lt;&gt;"",IF(Activities!$E62&lt;&gt;"",ISNUMBER(SEARCH(",4,",","&amp;Activities!$E62&amp;",")),AND(Activities!$C62&lt;=4,Activities!$D62&gt;=4))),IF(Activities!$H62="Coaches","🌱 ",IF(Activities!$H62="Coordinators","⚙️ ",IF(Activities!$H62="Both","👥 ","")))&amp;Activities!$B62&amp;CHAR(10)&amp;REPT("●",Activities!$F62),"")</f>
        <v/>
      </c>
      <c r="G61" s="7" t="str">
        <f>IF(AND(Activities!$A62&lt;&gt;"",IF(Activities!$E62&lt;&gt;"",ISNUMBER(SEARCH(",5,",","&amp;Activities!$E62&amp;",")),AND(Activities!$C62&lt;=5,Activities!$D62&gt;=5))),IF(Activities!$H62="Coaches","🌱 ",IF(Activities!$H62="Coordinators","⚙️ ",IF(Activities!$H62="Both","👥 ","")))&amp;Activities!$B62&amp;CHAR(10)&amp;REPT("●",Activities!$F62),"")</f>
        <v/>
      </c>
      <c r="H61" s="7" t="str">
        <f>IF(AND(Activities!$A62&lt;&gt;"",IF(Activities!$E62&lt;&gt;"",ISNUMBER(SEARCH(",6,",","&amp;Activities!$E62&amp;",")),AND(Activities!$C62&lt;=6,Activities!$D62&gt;=6))),IF(Activities!$H62="Coaches","🌱 ",IF(Activities!$H62="Coordinators","⚙️ ",IF(Activities!$H62="Both","👥 ","")))&amp;Activities!$B62&amp;CHAR(10)&amp;REPT("●",Activities!$F62),"")</f>
        <v/>
      </c>
      <c r="I61" s="7" t="str">
        <f>IF(AND(Activities!$A62&lt;&gt;"",IF(Activities!$E62&lt;&gt;"",ISNUMBER(SEARCH(",7,",","&amp;Activities!$E62&amp;",")),AND(Activities!$C62&lt;=7,Activities!$D62&gt;=7))),IF(Activities!$H62="Coaches","🌱 ",IF(Activities!$H62="Coordinators","⚙️ ",IF(Activities!$H62="Both","👥 ","")))&amp;Activities!$B62&amp;CHAR(10)&amp;REPT("●",Activities!$F62),"")</f>
        <v/>
      </c>
      <c r="J61" s="7" t="str">
        <f>IF(AND(Activities!$A62&lt;&gt;"",IF(Activities!$E62&lt;&gt;"",ISNUMBER(SEARCH(",8,",","&amp;Activities!$E62&amp;",")),AND(Activities!$C62&lt;=8,Activities!$D62&gt;=8))),IF(Activities!$H62="Coaches","🌱 ",IF(Activities!$H62="Coordinators","⚙️ ",IF(Activities!$H62="Both","👥 ","")))&amp;Activities!$B62&amp;CHAR(10)&amp;REPT("●",Activities!$F62),"")</f>
        <v/>
      </c>
      <c r="K61" s="7" t="str">
        <f>IF(AND(Activities!$A62&lt;&gt;"",IF(Activities!$E62&lt;&gt;"",ISNUMBER(SEARCH(",9,",","&amp;Activities!$E62&amp;",")),AND(Activities!$C62&lt;=9,Activities!$D62&gt;=9))),IF(Activities!$H62="Coaches","🌱 ",IF(Activities!$H62="Coordinators","⚙️ ",IF(Activities!$H62="Both","👥 ","")))&amp;Activities!$B62&amp;CHAR(10)&amp;REPT("●",Activities!$F62),"")</f>
        <v/>
      </c>
      <c r="L61" s="7" t="str">
        <f>IF(AND(Activities!$A62&lt;&gt;"",IF(Activities!$E62&lt;&gt;"",ISNUMBER(SEARCH(",10,",","&amp;Activities!$E62&amp;",")),AND(Activities!$C62&lt;=10,Activities!$D62&gt;=10))),IF(Activities!$H62="Coaches","🌱 ",IF(Activities!$H62="Coordinators","⚙️ ",IF(Activities!$H62="Both","👥 ","")))&amp;Activities!$B62&amp;CHAR(10)&amp;REPT("●",Activities!$F62),"")</f>
        <v/>
      </c>
      <c r="M61" s="7" t="str">
        <f>IF(AND(Activities!$A62&lt;&gt;"",IF(Activities!$E62&lt;&gt;"",ISNUMBER(SEARCH(",11,",","&amp;Activities!$E62&amp;",")),AND(Activities!$C62&lt;=11,Activities!$D62&gt;=11))),IF(Activities!$H62="Coaches","🌱 ",IF(Activities!$H62="Coordinators","⚙️ ",IF(Activities!$H62="Both","👥 ","")))&amp;Activities!$B62&amp;CHAR(10)&amp;REPT("●",Activities!$F62),"")</f>
        <v/>
      </c>
      <c r="N61" s="7" t="str">
        <f>IF(AND(Activities!$A62&lt;&gt;"",IF(Activities!$E62&lt;&gt;"",ISNUMBER(SEARCH(",12,",","&amp;Activities!$E62&amp;",")),AND(Activities!$C62&lt;=12,Activities!$D62&gt;=12))),IF(Activities!$H62="Coaches","🌱 ",IF(Activities!$H62="Coordinators","⚙️ ",IF(Activities!$H62="Both","👥 ","")))&amp;Activities!$B62&amp;CHAR(10)&amp;REPT("●",Activities!$F62),"")</f>
        <v/>
      </c>
    </row>
    <row r="62" spans="1:14" s="8" customFormat="1" ht="20">
      <c r="A62" s="14" t="str">
        <f>IF(Activities!$A63&lt;&gt;"",Activities!$A63,"")</f>
        <v/>
      </c>
      <c r="B62" s="7" t="str">
        <f>IF(Activities!$B63&lt;&gt;"",Activities!$B63,"")</f>
        <v/>
      </c>
      <c r="C62" s="7" t="str">
        <f>IF(AND(Activities!$A63&lt;&gt;"",IF(Activities!$E63&lt;&gt;"",ISNUMBER(SEARCH(",1,",","&amp;Activities!$E63&amp;",")),AND(Activities!$C63&lt;=1,Activities!$D63&gt;=1))),IF(Activities!$H63="Coaches","🌱 ",IF(Activities!$H63="Coordinators","⚙️ ",IF(Activities!$H63="Both","👥 ","")))&amp;Activities!$B63&amp;CHAR(10)&amp;REPT("●",Activities!$F63),"")</f>
        <v/>
      </c>
      <c r="D62" s="7" t="str">
        <f>IF(AND(Activities!$A63&lt;&gt;"",IF(Activities!$E63&lt;&gt;"",ISNUMBER(SEARCH(",2,",","&amp;Activities!$E63&amp;",")),AND(Activities!$C63&lt;=2,Activities!$D63&gt;=2))),IF(Activities!$H63="Coaches","🌱 ",IF(Activities!$H63="Coordinators","⚙️ ",IF(Activities!$H63="Both","👥 ","")))&amp;Activities!$B63&amp;CHAR(10)&amp;REPT("●",Activities!$F63),"")</f>
        <v/>
      </c>
      <c r="E62" s="7" t="str">
        <f>IF(AND(Activities!$A63&lt;&gt;"",IF(Activities!$E63&lt;&gt;"",ISNUMBER(SEARCH(",3,",","&amp;Activities!$E63&amp;",")),AND(Activities!$C63&lt;=3,Activities!$D63&gt;=3))),IF(Activities!$H63="Coaches","🌱 ",IF(Activities!$H63="Coordinators","⚙️ ",IF(Activities!$H63="Both","👥 ","")))&amp;Activities!$B63&amp;CHAR(10)&amp;REPT("●",Activities!$F63),"")</f>
        <v/>
      </c>
      <c r="F62" s="7" t="str">
        <f>IF(AND(Activities!$A63&lt;&gt;"",IF(Activities!$E63&lt;&gt;"",ISNUMBER(SEARCH(",4,",","&amp;Activities!$E63&amp;",")),AND(Activities!$C63&lt;=4,Activities!$D63&gt;=4))),IF(Activities!$H63="Coaches","🌱 ",IF(Activities!$H63="Coordinators","⚙️ ",IF(Activities!$H63="Both","👥 ","")))&amp;Activities!$B63&amp;CHAR(10)&amp;REPT("●",Activities!$F63),"")</f>
        <v/>
      </c>
      <c r="G62" s="7" t="str">
        <f>IF(AND(Activities!$A63&lt;&gt;"",IF(Activities!$E63&lt;&gt;"",ISNUMBER(SEARCH(",5,",","&amp;Activities!$E63&amp;",")),AND(Activities!$C63&lt;=5,Activities!$D63&gt;=5))),IF(Activities!$H63="Coaches","🌱 ",IF(Activities!$H63="Coordinators","⚙️ ",IF(Activities!$H63="Both","👥 ","")))&amp;Activities!$B63&amp;CHAR(10)&amp;REPT("●",Activities!$F63),"")</f>
        <v/>
      </c>
      <c r="H62" s="7" t="str">
        <f>IF(AND(Activities!$A63&lt;&gt;"",IF(Activities!$E63&lt;&gt;"",ISNUMBER(SEARCH(",6,",","&amp;Activities!$E63&amp;",")),AND(Activities!$C63&lt;=6,Activities!$D63&gt;=6))),IF(Activities!$H63="Coaches","🌱 ",IF(Activities!$H63="Coordinators","⚙️ ",IF(Activities!$H63="Both","👥 ","")))&amp;Activities!$B63&amp;CHAR(10)&amp;REPT("●",Activities!$F63),"")</f>
        <v/>
      </c>
      <c r="I62" s="7" t="str">
        <f>IF(AND(Activities!$A63&lt;&gt;"",IF(Activities!$E63&lt;&gt;"",ISNUMBER(SEARCH(",7,",","&amp;Activities!$E63&amp;",")),AND(Activities!$C63&lt;=7,Activities!$D63&gt;=7))),IF(Activities!$H63="Coaches","🌱 ",IF(Activities!$H63="Coordinators","⚙️ ",IF(Activities!$H63="Both","👥 ","")))&amp;Activities!$B63&amp;CHAR(10)&amp;REPT("●",Activities!$F63),"")</f>
        <v/>
      </c>
      <c r="J62" s="7" t="str">
        <f>IF(AND(Activities!$A63&lt;&gt;"",IF(Activities!$E63&lt;&gt;"",ISNUMBER(SEARCH(",8,",","&amp;Activities!$E63&amp;",")),AND(Activities!$C63&lt;=8,Activities!$D63&gt;=8))),IF(Activities!$H63="Coaches","🌱 ",IF(Activities!$H63="Coordinators","⚙️ ",IF(Activities!$H63="Both","👥 ","")))&amp;Activities!$B63&amp;CHAR(10)&amp;REPT("●",Activities!$F63),"")</f>
        <v/>
      </c>
      <c r="K62" s="7" t="str">
        <f>IF(AND(Activities!$A63&lt;&gt;"",IF(Activities!$E63&lt;&gt;"",ISNUMBER(SEARCH(",9,",","&amp;Activities!$E63&amp;",")),AND(Activities!$C63&lt;=9,Activities!$D63&gt;=9))),IF(Activities!$H63="Coaches","🌱 ",IF(Activities!$H63="Coordinators","⚙️ ",IF(Activities!$H63="Both","👥 ","")))&amp;Activities!$B63&amp;CHAR(10)&amp;REPT("●",Activities!$F63),"")</f>
        <v/>
      </c>
      <c r="L62" s="7" t="str">
        <f>IF(AND(Activities!$A63&lt;&gt;"",IF(Activities!$E63&lt;&gt;"",ISNUMBER(SEARCH(",10,",","&amp;Activities!$E63&amp;",")),AND(Activities!$C63&lt;=10,Activities!$D63&gt;=10))),IF(Activities!$H63="Coaches","🌱 ",IF(Activities!$H63="Coordinators","⚙️ ",IF(Activities!$H63="Both","👥 ","")))&amp;Activities!$B63&amp;CHAR(10)&amp;REPT("●",Activities!$F63),"")</f>
        <v/>
      </c>
      <c r="M62" s="7" t="str">
        <f>IF(AND(Activities!$A63&lt;&gt;"",IF(Activities!$E63&lt;&gt;"",ISNUMBER(SEARCH(",11,",","&amp;Activities!$E63&amp;",")),AND(Activities!$C63&lt;=11,Activities!$D63&gt;=11))),IF(Activities!$H63="Coaches","🌱 ",IF(Activities!$H63="Coordinators","⚙️ ",IF(Activities!$H63="Both","👥 ","")))&amp;Activities!$B63&amp;CHAR(10)&amp;REPT("●",Activities!$F63),"")</f>
        <v/>
      </c>
      <c r="N62" s="7" t="str">
        <f>IF(AND(Activities!$A63&lt;&gt;"",IF(Activities!$E63&lt;&gt;"",ISNUMBER(SEARCH(",12,",","&amp;Activities!$E63&amp;",")),AND(Activities!$C63&lt;=12,Activities!$D63&gt;=12))),IF(Activities!$H63="Coaches","🌱 ",IF(Activities!$H63="Coordinators","⚙️ ",IF(Activities!$H63="Both","👥 ","")))&amp;Activities!$B63&amp;CHAR(10)&amp;REPT("●",Activities!$F63),"")</f>
        <v/>
      </c>
    </row>
    <row r="63" spans="1:14" s="8" customFormat="1" ht="20">
      <c r="A63" s="14" t="str">
        <f>IF(Activities!$A64&lt;&gt;"",Activities!$A64,"")</f>
        <v/>
      </c>
      <c r="B63" s="7" t="str">
        <f>IF(Activities!$B64&lt;&gt;"",Activities!$B64,"")</f>
        <v/>
      </c>
      <c r="C63" s="7" t="str">
        <f>IF(AND(Activities!$A64&lt;&gt;"",IF(Activities!$E64&lt;&gt;"",ISNUMBER(SEARCH(",1,",","&amp;Activities!$E64&amp;",")),AND(Activities!$C64&lt;=1,Activities!$D64&gt;=1))),IF(Activities!$H64="Coaches","🌱 ",IF(Activities!$H64="Coordinators","⚙️ ",IF(Activities!$H64="Both","👥 ","")))&amp;Activities!$B64&amp;CHAR(10)&amp;REPT("●",Activities!$F64),"")</f>
        <v/>
      </c>
      <c r="D63" s="7" t="str">
        <f>IF(AND(Activities!$A64&lt;&gt;"",IF(Activities!$E64&lt;&gt;"",ISNUMBER(SEARCH(",2,",","&amp;Activities!$E64&amp;",")),AND(Activities!$C64&lt;=2,Activities!$D64&gt;=2))),IF(Activities!$H64="Coaches","🌱 ",IF(Activities!$H64="Coordinators","⚙️ ",IF(Activities!$H64="Both","👥 ","")))&amp;Activities!$B64&amp;CHAR(10)&amp;REPT("●",Activities!$F64),"")</f>
        <v/>
      </c>
      <c r="E63" s="7" t="str">
        <f>IF(AND(Activities!$A64&lt;&gt;"",IF(Activities!$E64&lt;&gt;"",ISNUMBER(SEARCH(",3,",","&amp;Activities!$E64&amp;",")),AND(Activities!$C64&lt;=3,Activities!$D64&gt;=3))),IF(Activities!$H64="Coaches","🌱 ",IF(Activities!$H64="Coordinators","⚙️ ",IF(Activities!$H64="Both","👥 ","")))&amp;Activities!$B64&amp;CHAR(10)&amp;REPT("●",Activities!$F64),"")</f>
        <v/>
      </c>
      <c r="F63" s="7" t="str">
        <f>IF(AND(Activities!$A64&lt;&gt;"",IF(Activities!$E64&lt;&gt;"",ISNUMBER(SEARCH(",4,",","&amp;Activities!$E64&amp;",")),AND(Activities!$C64&lt;=4,Activities!$D64&gt;=4))),IF(Activities!$H64="Coaches","🌱 ",IF(Activities!$H64="Coordinators","⚙️ ",IF(Activities!$H64="Both","👥 ","")))&amp;Activities!$B64&amp;CHAR(10)&amp;REPT("●",Activities!$F64),"")</f>
        <v/>
      </c>
      <c r="G63" s="7" t="str">
        <f>IF(AND(Activities!$A64&lt;&gt;"",IF(Activities!$E64&lt;&gt;"",ISNUMBER(SEARCH(",5,",","&amp;Activities!$E64&amp;",")),AND(Activities!$C64&lt;=5,Activities!$D64&gt;=5))),IF(Activities!$H64="Coaches","🌱 ",IF(Activities!$H64="Coordinators","⚙️ ",IF(Activities!$H64="Both","👥 ","")))&amp;Activities!$B64&amp;CHAR(10)&amp;REPT("●",Activities!$F64),"")</f>
        <v/>
      </c>
      <c r="H63" s="7" t="str">
        <f>IF(AND(Activities!$A64&lt;&gt;"",IF(Activities!$E64&lt;&gt;"",ISNUMBER(SEARCH(",6,",","&amp;Activities!$E64&amp;",")),AND(Activities!$C64&lt;=6,Activities!$D64&gt;=6))),IF(Activities!$H64="Coaches","🌱 ",IF(Activities!$H64="Coordinators","⚙️ ",IF(Activities!$H64="Both","👥 ","")))&amp;Activities!$B64&amp;CHAR(10)&amp;REPT("●",Activities!$F64),"")</f>
        <v/>
      </c>
      <c r="I63" s="7" t="str">
        <f>IF(AND(Activities!$A64&lt;&gt;"",IF(Activities!$E64&lt;&gt;"",ISNUMBER(SEARCH(",7,",","&amp;Activities!$E64&amp;",")),AND(Activities!$C64&lt;=7,Activities!$D64&gt;=7))),IF(Activities!$H64="Coaches","🌱 ",IF(Activities!$H64="Coordinators","⚙️ ",IF(Activities!$H64="Both","👥 ","")))&amp;Activities!$B64&amp;CHAR(10)&amp;REPT("●",Activities!$F64),"")</f>
        <v/>
      </c>
      <c r="J63" s="7" t="str">
        <f>IF(AND(Activities!$A64&lt;&gt;"",IF(Activities!$E64&lt;&gt;"",ISNUMBER(SEARCH(",8,",","&amp;Activities!$E64&amp;",")),AND(Activities!$C64&lt;=8,Activities!$D64&gt;=8))),IF(Activities!$H64="Coaches","🌱 ",IF(Activities!$H64="Coordinators","⚙️ ",IF(Activities!$H64="Both","👥 ","")))&amp;Activities!$B64&amp;CHAR(10)&amp;REPT("●",Activities!$F64),"")</f>
        <v/>
      </c>
      <c r="K63" s="7" t="str">
        <f>IF(AND(Activities!$A64&lt;&gt;"",IF(Activities!$E64&lt;&gt;"",ISNUMBER(SEARCH(",9,",","&amp;Activities!$E64&amp;",")),AND(Activities!$C64&lt;=9,Activities!$D64&gt;=9))),IF(Activities!$H64="Coaches","🌱 ",IF(Activities!$H64="Coordinators","⚙️ ",IF(Activities!$H64="Both","👥 ","")))&amp;Activities!$B64&amp;CHAR(10)&amp;REPT("●",Activities!$F64),"")</f>
        <v/>
      </c>
      <c r="L63" s="7" t="str">
        <f>IF(AND(Activities!$A64&lt;&gt;"",IF(Activities!$E64&lt;&gt;"",ISNUMBER(SEARCH(",10,",","&amp;Activities!$E64&amp;",")),AND(Activities!$C64&lt;=10,Activities!$D64&gt;=10))),IF(Activities!$H64="Coaches","🌱 ",IF(Activities!$H64="Coordinators","⚙️ ",IF(Activities!$H64="Both","👥 ","")))&amp;Activities!$B64&amp;CHAR(10)&amp;REPT("●",Activities!$F64),"")</f>
        <v/>
      </c>
      <c r="M63" s="7" t="str">
        <f>IF(AND(Activities!$A64&lt;&gt;"",IF(Activities!$E64&lt;&gt;"",ISNUMBER(SEARCH(",11,",","&amp;Activities!$E64&amp;",")),AND(Activities!$C64&lt;=11,Activities!$D64&gt;=11))),IF(Activities!$H64="Coaches","🌱 ",IF(Activities!$H64="Coordinators","⚙️ ",IF(Activities!$H64="Both","👥 ","")))&amp;Activities!$B64&amp;CHAR(10)&amp;REPT("●",Activities!$F64),"")</f>
        <v/>
      </c>
      <c r="N63" s="7" t="str">
        <f>IF(AND(Activities!$A64&lt;&gt;"",IF(Activities!$E64&lt;&gt;"",ISNUMBER(SEARCH(",12,",","&amp;Activities!$E64&amp;",")),AND(Activities!$C64&lt;=12,Activities!$D64&gt;=12))),IF(Activities!$H64="Coaches","🌱 ",IF(Activities!$H64="Coordinators","⚙️ ",IF(Activities!$H64="Both","👥 ","")))&amp;Activities!$B64&amp;CHAR(10)&amp;REPT("●",Activities!$F64),"")</f>
        <v/>
      </c>
    </row>
    <row r="64" spans="1:14" s="8" customFormat="1" ht="20">
      <c r="A64" s="14" t="str">
        <f>IF(Activities!$A65&lt;&gt;"",Activities!$A65,"")</f>
        <v/>
      </c>
      <c r="B64" s="7" t="str">
        <f>IF(Activities!$B65&lt;&gt;"",Activities!$B65,"")</f>
        <v/>
      </c>
      <c r="C64" s="7" t="str">
        <f>IF(AND(Activities!$A65&lt;&gt;"",IF(Activities!$E65&lt;&gt;"",ISNUMBER(SEARCH(",1,",","&amp;Activities!$E65&amp;",")),AND(Activities!$C65&lt;=1,Activities!$D65&gt;=1))),IF(Activities!$H65="Coaches","🌱 ",IF(Activities!$H65="Coordinators","⚙️ ",IF(Activities!$H65="Both","👥 ","")))&amp;Activities!$B65&amp;CHAR(10)&amp;REPT("●",Activities!$F65),"")</f>
        <v/>
      </c>
      <c r="D64" s="7" t="str">
        <f>IF(AND(Activities!$A65&lt;&gt;"",IF(Activities!$E65&lt;&gt;"",ISNUMBER(SEARCH(",2,",","&amp;Activities!$E65&amp;",")),AND(Activities!$C65&lt;=2,Activities!$D65&gt;=2))),IF(Activities!$H65="Coaches","🌱 ",IF(Activities!$H65="Coordinators","⚙️ ",IF(Activities!$H65="Both","👥 ","")))&amp;Activities!$B65&amp;CHAR(10)&amp;REPT("●",Activities!$F65),"")</f>
        <v/>
      </c>
      <c r="E64" s="7" t="str">
        <f>IF(AND(Activities!$A65&lt;&gt;"",IF(Activities!$E65&lt;&gt;"",ISNUMBER(SEARCH(",3,",","&amp;Activities!$E65&amp;",")),AND(Activities!$C65&lt;=3,Activities!$D65&gt;=3))),IF(Activities!$H65="Coaches","🌱 ",IF(Activities!$H65="Coordinators","⚙️ ",IF(Activities!$H65="Both","👥 ","")))&amp;Activities!$B65&amp;CHAR(10)&amp;REPT("●",Activities!$F65),"")</f>
        <v/>
      </c>
      <c r="F64" s="7" t="str">
        <f>IF(AND(Activities!$A65&lt;&gt;"",IF(Activities!$E65&lt;&gt;"",ISNUMBER(SEARCH(",4,",","&amp;Activities!$E65&amp;",")),AND(Activities!$C65&lt;=4,Activities!$D65&gt;=4))),IF(Activities!$H65="Coaches","🌱 ",IF(Activities!$H65="Coordinators","⚙️ ",IF(Activities!$H65="Both","👥 ","")))&amp;Activities!$B65&amp;CHAR(10)&amp;REPT("●",Activities!$F65),"")</f>
        <v/>
      </c>
      <c r="G64" s="7" t="str">
        <f>IF(AND(Activities!$A65&lt;&gt;"",IF(Activities!$E65&lt;&gt;"",ISNUMBER(SEARCH(",5,",","&amp;Activities!$E65&amp;",")),AND(Activities!$C65&lt;=5,Activities!$D65&gt;=5))),IF(Activities!$H65="Coaches","🌱 ",IF(Activities!$H65="Coordinators","⚙️ ",IF(Activities!$H65="Both","👥 ","")))&amp;Activities!$B65&amp;CHAR(10)&amp;REPT("●",Activities!$F65),"")</f>
        <v/>
      </c>
      <c r="H64" s="7" t="str">
        <f>IF(AND(Activities!$A65&lt;&gt;"",IF(Activities!$E65&lt;&gt;"",ISNUMBER(SEARCH(",6,",","&amp;Activities!$E65&amp;",")),AND(Activities!$C65&lt;=6,Activities!$D65&gt;=6))),IF(Activities!$H65="Coaches","🌱 ",IF(Activities!$H65="Coordinators","⚙️ ",IF(Activities!$H65="Both","👥 ","")))&amp;Activities!$B65&amp;CHAR(10)&amp;REPT("●",Activities!$F65),"")</f>
        <v/>
      </c>
      <c r="I64" s="7" t="str">
        <f>IF(AND(Activities!$A65&lt;&gt;"",IF(Activities!$E65&lt;&gt;"",ISNUMBER(SEARCH(",7,",","&amp;Activities!$E65&amp;",")),AND(Activities!$C65&lt;=7,Activities!$D65&gt;=7))),IF(Activities!$H65="Coaches","🌱 ",IF(Activities!$H65="Coordinators","⚙️ ",IF(Activities!$H65="Both","👥 ","")))&amp;Activities!$B65&amp;CHAR(10)&amp;REPT("●",Activities!$F65),"")</f>
        <v/>
      </c>
      <c r="J64" s="7" t="str">
        <f>IF(AND(Activities!$A65&lt;&gt;"",IF(Activities!$E65&lt;&gt;"",ISNUMBER(SEARCH(",8,",","&amp;Activities!$E65&amp;",")),AND(Activities!$C65&lt;=8,Activities!$D65&gt;=8))),IF(Activities!$H65="Coaches","🌱 ",IF(Activities!$H65="Coordinators","⚙️ ",IF(Activities!$H65="Both","👥 ","")))&amp;Activities!$B65&amp;CHAR(10)&amp;REPT("●",Activities!$F65),"")</f>
        <v/>
      </c>
      <c r="K64" s="7" t="str">
        <f>IF(AND(Activities!$A65&lt;&gt;"",IF(Activities!$E65&lt;&gt;"",ISNUMBER(SEARCH(",9,",","&amp;Activities!$E65&amp;",")),AND(Activities!$C65&lt;=9,Activities!$D65&gt;=9))),IF(Activities!$H65="Coaches","🌱 ",IF(Activities!$H65="Coordinators","⚙️ ",IF(Activities!$H65="Both","👥 ","")))&amp;Activities!$B65&amp;CHAR(10)&amp;REPT("●",Activities!$F65),"")</f>
        <v/>
      </c>
      <c r="L64" s="7" t="str">
        <f>IF(AND(Activities!$A65&lt;&gt;"",IF(Activities!$E65&lt;&gt;"",ISNUMBER(SEARCH(",10,",","&amp;Activities!$E65&amp;",")),AND(Activities!$C65&lt;=10,Activities!$D65&gt;=10))),IF(Activities!$H65="Coaches","🌱 ",IF(Activities!$H65="Coordinators","⚙️ ",IF(Activities!$H65="Both","👥 ","")))&amp;Activities!$B65&amp;CHAR(10)&amp;REPT("●",Activities!$F65),"")</f>
        <v/>
      </c>
      <c r="M64" s="7" t="str">
        <f>IF(AND(Activities!$A65&lt;&gt;"",IF(Activities!$E65&lt;&gt;"",ISNUMBER(SEARCH(",11,",","&amp;Activities!$E65&amp;",")),AND(Activities!$C65&lt;=11,Activities!$D65&gt;=11))),IF(Activities!$H65="Coaches","🌱 ",IF(Activities!$H65="Coordinators","⚙️ ",IF(Activities!$H65="Both","👥 ","")))&amp;Activities!$B65&amp;CHAR(10)&amp;REPT("●",Activities!$F65),"")</f>
        <v/>
      </c>
      <c r="N64" s="7" t="str">
        <f>IF(AND(Activities!$A65&lt;&gt;"",IF(Activities!$E65&lt;&gt;"",ISNUMBER(SEARCH(",12,",","&amp;Activities!$E65&amp;",")),AND(Activities!$C65&lt;=12,Activities!$D65&gt;=12))),IF(Activities!$H65="Coaches","🌱 ",IF(Activities!$H65="Coordinators","⚙️ ",IF(Activities!$H65="Both","👥 ","")))&amp;Activities!$B65&amp;CHAR(10)&amp;REPT("●",Activities!$F65),"")</f>
        <v/>
      </c>
    </row>
    <row r="65" spans="1:14" s="8" customFormat="1" ht="20">
      <c r="A65" s="14" t="str">
        <f>IF(Activities!$A66&lt;&gt;"",Activities!$A66,"")</f>
        <v/>
      </c>
      <c r="B65" s="7" t="str">
        <f>IF(Activities!$B66&lt;&gt;"",Activities!$B66,"")</f>
        <v/>
      </c>
      <c r="C65" s="7" t="str">
        <f>IF(AND(Activities!$A66&lt;&gt;"",IF(Activities!$E66&lt;&gt;"",ISNUMBER(SEARCH(",1,",","&amp;Activities!$E66&amp;",")),AND(Activities!$C66&lt;=1,Activities!$D66&gt;=1))),IF(Activities!$H66="Coaches","🌱 ",IF(Activities!$H66="Coordinators","⚙️ ",IF(Activities!$H66="Both","👥 ","")))&amp;Activities!$B66&amp;CHAR(10)&amp;REPT("●",Activities!$F66),"")</f>
        <v/>
      </c>
      <c r="D65" s="7" t="str">
        <f>IF(AND(Activities!$A66&lt;&gt;"",IF(Activities!$E66&lt;&gt;"",ISNUMBER(SEARCH(",2,",","&amp;Activities!$E66&amp;",")),AND(Activities!$C66&lt;=2,Activities!$D66&gt;=2))),IF(Activities!$H66="Coaches","🌱 ",IF(Activities!$H66="Coordinators","⚙️ ",IF(Activities!$H66="Both","👥 ","")))&amp;Activities!$B66&amp;CHAR(10)&amp;REPT("●",Activities!$F66),"")</f>
        <v/>
      </c>
      <c r="E65" s="7" t="str">
        <f>IF(AND(Activities!$A66&lt;&gt;"",IF(Activities!$E66&lt;&gt;"",ISNUMBER(SEARCH(",3,",","&amp;Activities!$E66&amp;",")),AND(Activities!$C66&lt;=3,Activities!$D66&gt;=3))),IF(Activities!$H66="Coaches","🌱 ",IF(Activities!$H66="Coordinators","⚙️ ",IF(Activities!$H66="Both","👥 ","")))&amp;Activities!$B66&amp;CHAR(10)&amp;REPT("●",Activities!$F66),"")</f>
        <v/>
      </c>
      <c r="F65" s="7" t="str">
        <f>IF(AND(Activities!$A66&lt;&gt;"",IF(Activities!$E66&lt;&gt;"",ISNUMBER(SEARCH(",4,",","&amp;Activities!$E66&amp;",")),AND(Activities!$C66&lt;=4,Activities!$D66&gt;=4))),IF(Activities!$H66="Coaches","🌱 ",IF(Activities!$H66="Coordinators","⚙️ ",IF(Activities!$H66="Both","👥 ","")))&amp;Activities!$B66&amp;CHAR(10)&amp;REPT("●",Activities!$F66),"")</f>
        <v/>
      </c>
      <c r="G65" s="7" t="str">
        <f>IF(AND(Activities!$A66&lt;&gt;"",IF(Activities!$E66&lt;&gt;"",ISNUMBER(SEARCH(",5,",","&amp;Activities!$E66&amp;",")),AND(Activities!$C66&lt;=5,Activities!$D66&gt;=5))),IF(Activities!$H66="Coaches","🌱 ",IF(Activities!$H66="Coordinators","⚙️ ",IF(Activities!$H66="Both","👥 ","")))&amp;Activities!$B66&amp;CHAR(10)&amp;REPT("●",Activities!$F66),"")</f>
        <v/>
      </c>
      <c r="H65" s="7" t="str">
        <f>IF(AND(Activities!$A66&lt;&gt;"",IF(Activities!$E66&lt;&gt;"",ISNUMBER(SEARCH(",6,",","&amp;Activities!$E66&amp;",")),AND(Activities!$C66&lt;=6,Activities!$D66&gt;=6))),IF(Activities!$H66="Coaches","🌱 ",IF(Activities!$H66="Coordinators","⚙️ ",IF(Activities!$H66="Both","👥 ","")))&amp;Activities!$B66&amp;CHAR(10)&amp;REPT("●",Activities!$F66),"")</f>
        <v/>
      </c>
      <c r="I65" s="7" t="str">
        <f>IF(AND(Activities!$A66&lt;&gt;"",IF(Activities!$E66&lt;&gt;"",ISNUMBER(SEARCH(",7,",","&amp;Activities!$E66&amp;",")),AND(Activities!$C66&lt;=7,Activities!$D66&gt;=7))),IF(Activities!$H66="Coaches","🌱 ",IF(Activities!$H66="Coordinators","⚙️ ",IF(Activities!$H66="Both","👥 ","")))&amp;Activities!$B66&amp;CHAR(10)&amp;REPT("●",Activities!$F66),"")</f>
        <v/>
      </c>
      <c r="J65" s="7" t="str">
        <f>IF(AND(Activities!$A66&lt;&gt;"",IF(Activities!$E66&lt;&gt;"",ISNUMBER(SEARCH(",8,",","&amp;Activities!$E66&amp;",")),AND(Activities!$C66&lt;=8,Activities!$D66&gt;=8))),IF(Activities!$H66="Coaches","🌱 ",IF(Activities!$H66="Coordinators","⚙️ ",IF(Activities!$H66="Both","👥 ","")))&amp;Activities!$B66&amp;CHAR(10)&amp;REPT("●",Activities!$F66),"")</f>
        <v/>
      </c>
      <c r="K65" s="7" t="str">
        <f>IF(AND(Activities!$A66&lt;&gt;"",IF(Activities!$E66&lt;&gt;"",ISNUMBER(SEARCH(",9,",","&amp;Activities!$E66&amp;",")),AND(Activities!$C66&lt;=9,Activities!$D66&gt;=9))),IF(Activities!$H66="Coaches","🌱 ",IF(Activities!$H66="Coordinators","⚙️ ",IF(Activities!$H66="Both","👥 ","")))&amp;Activities!$B66&amp;CHAR(10)&amp;REPT("●",Activities!$F66),"")</f>
        <v/>
      </c>
      <c r="L65" s="7" t="str">
        <f>IF(AND(Activities!$A66&lt;&gt;"",IF(Activities!$E66&lt;&gt;"",ISNUMBER(SEARCH(",10,",","&amp;Activities!$E66&amp;",")),AND(Activities!$C66&lt;=10,Activities!$D66&gt;=10))),IF(Activities!$H66="Coaches","🌱 ",IF(Activities!$H66="Coordinators","⚙️ ",IF(Activities!$H66="Both","👥 ","")))&amp;Activities!$B66&amp;CHAR(10)&amp;REPT("●",Activities!$F66),"")</f>
        <v/>
      </c>
      <c r="M65" s="7" t="str">
        <f>IF(AND(Activities!$A66&lt;&gt;"",IF(Activities!$E66&lt;&gt;"",ISNUMBER(SEARCH(",11,",","&amp;Activities!$E66&amp;",")),AND(Activities!$C66&lt;=11,Activities!$D66&gt;=11))),IF(Activities!$H66="Coaches","🌱 ",IF(Activities!$H66="Coordinators","⚙️ ",IF(Activities!$H66="Both","👥 ","")))&amp;Activities!$B66&amp;CHAR(10)&amp;REPT("●",Activities!$F66),"")</f>
        <v/>
      </c>
      <c r="N65" s="7" t="str">
        <f>IF(AND(Activities!$A66&lt;&gt;"",IF(Activities!$E66&lt;&gt;"",ISNUMBER(SEARCH(",12,",","&amp;Activities!$E66&amp;",")),AND(Activities!$C66&lt;=12,Activities!$D66&gt;=12))),IF(Activities!$H66="Coaches","🌱 ",IF(Activities!$H66="Coordinators","⚙️ ",IF(Activities!$H66="Both","👥 ","")))&amp;Activities!$B66&amp;CHAR(10)&amp;REPT("●",Activities!$F66),"")</f>
        <v/>
      </c>
    </row>
    <row r="66" spans="1:14" s="8" customFormat="1" ht="20">
      <c r="A66" s="14" t="str">
        <f>IF(Activities!$A67&lt;&gt;"",Activities!$A67,"")</f>
        <v/>
      </c>
      <c r="B66" s="7" t="str">
        <f>IF(Activities!$B67&lt;&gt;"",Activities!$B67,"")</f>
        <v/>
      </c>
      <c r="C66" s="7" t="str">
        <f>IF(AND(Activities!$A67&lt;&gt;"",IF(Activities!$E67&lt;&gt;"",ISNUMBER(SEARCH(",1,",","&amp;Activities!$E67&amp;",")),AND(Activities!$C67&lt;=1,Activities!$D67&gt;=1))),IF(Activities!$H67="Coaches","🌱 ",IF(Activities!$H67="Coordinators","⚙️ ",IF(Activities!$H67="Both","👥 ","")))&amp;Activities!$B67&amp;CHAR(10)&amp;REPT("●",Activities!$F67),"")</f>
        <v/>
      </c>
      <c r="D66" s="7" t="str">
        <f>IF(AND(Activities!$A67&lt;&gt;"",IF(Activities!$E67&lt;&gt;"",ISNUMBER(SEARCH(",2,",","&amp;Activities!$E67&amp;",")),AND(Activities!$C67&lt;=2,Activities!$D67&gt;=2))),IF(Activities!$H67="Coaches","🌱 ",IF(Activities!$H67="Coordinators","⚙️ ",IF(Activities!$H67="Both","👥 ","")))&amp;Activities!$B67&amp;CHAR(10)&amp;REPT("●",Activities!$F67),"")</f>
        <v/>
      </c>
      <c r="E66" s="7" t="str">
        <f>IF(AND(Activities!$A67&lt;&gt;"",IF(Activities!$E67&lt;&gt;"",ISNUMBER(SEARCH(",3,",","&amp;Activities!$E67&amp;",")),AND(Activities!$C67&lt;=3,Activities!$D67&gt;=3))),IF(Activities!$H67="Coaches","🌱 ",IF(Activities!$H67="Coordinators","⚙️ ",IF(Activities!$H67="Both","👥 ","")))&amp;Activities!$B67&amp;CHAR(10)&amp;REPT("●",Activities!$F67),"")</f>
        <v/>
      </c>
      <c r="F66" s="7" t="str">
        <f>IF(AND(Activities!$A67&lt;&gt;"",IF(Activities!$E67&lt;&gt;"",ISNUMBER(SEARCH(",4,",","&amp;Activities!$E67&amp;",")),AND(Activities!$C67&lt;=4,Activities!$D67&gt;=4))),IF(Activities!$H67="Coaches","🌱 ",IF(Activities!$H67="Coordinators","⚙️ ",IF(Activities!$H67="Both","👥 ","")))&amp;Activities!$B67&amp;CHAR(10)&amp;REPT("●",Activities!$F67),"")</f>
        <v/>
      </c>
      <c r="G66" s="7" t="str">
        <f>IF(AND(Activities!$A67&lt;&gt;"",IF(Activities!$E67&lt;&gt;"",ISNUMBER(SEARCH(",5,",","&amp;Activities!$E67&amp;",")),AND(Activities!$C67&lt;=5,Activities!$D67&gt;=5))),IF(Activities!$H67="Coaches","🌱 ",IF(Activities!$H67="Coordinators","⚙️ ",IF(Activities!$H67="Both","👥 ","")))&amp;Activities!$B67&amp;CHAR(10)&amp;REPT("●",Activities!$F67),"")</f>
        <v/>
      </c>
      <c r="H66" s="7" t="str">
        <f>IF(AND(Activities!$A67&lt;&gt;"",IF(Activities!$E67&lt;&gt;"",ISNUMBER(SEARCH(",6,",","&amp;Activities!$E67&amp;",")),AND(Activities!$C67&lt;=6,Activities!$D67&gt;=6))),IF(Activities!$H67="Coaches","🌱 ",IF(Activities!$H67="Coordinators","⚙️ ",IF(Activities!$H67="Both","👥 ","")))&amp;Activities!$B67&amp;CHAR(10)&amp;REPT("●",Activities!$F67),"")</f>
        <v/>
      </c>
      <c r="I66" s="7" t="str">
        <f>IF(AND(Activities!$A67&lt;&gt;"",IF(Activities!$E67&lt;&gt;"",ISNUMBER(SEARCH(",7,",","&amp;Activities!$E67&amp;",")),AND(Activities!$C67&lt;=7,Activities!$D67&gt;=7))),IF(Activities!$H67="Coaches","🌱 ",IF(Activities!$H67="Coordinators","⚙️ ",IF(Activities!$H67="Both","👥 ","")))&amp;Activities!$B67&amp;CHAR(10)&amp;REPT("●",Activities!$F67),"")</f>
        <v/>
      </c>
      <c r="J66" s="7" t="str">
        <f>IF(AND(Activities!$A67&lt;&gt;"",IF(Activities!$E67&lt;&gt;"",ISNUMBER(SEARCH(",8,",","&amp;Activities!$E67&amp;",")),AND(Activities!$C67&lt;=8,Activities!$D67&gt;=8))),IF(Activities!$H67="Coaches","🌱 ",IF(Activities!$H67="Coordinators","⚙️ ",IF(Activities!$H67="Both","👥 ","")))&amp;Activities!$B67&amp;CHAR(10)&amp;REPT("●",Activities!$F67),"")</f>
        <v/>
      </c>
      <c r="K66" s="7" t="str">
        <f>IF(AND(Activities!$A67&lt;&gt;"",IF(Activities!$E67&lt;&gt;"",ISNUMBER(SEARCH(",9,",","&amp;Activities!$E67&amp;",")),AND(Activities!$C67&lt;=9,Activities!$D67&gt;=9))),IF(Activities!$H67="Coaches","🌱 ",IF(Activities!$H67="Coordinators","⚙️ ",IF(Activities!$H67="Both","👥 ","")))&amp;Activities!$B67&amp;CHAR(10)&amp;REPT("●",Activities!$F67),"")</f>
        <v/>
      </c>
      <c r="L66" s="7" t="str">
        <f>IF(AND(Activities!$A67&lt;&gt;"",IF(Activities!$E67&lt;&gt;"",ISNUMBER(SEARCH(",10,",","&amp;Activities!$E67&amp;",")),AND(Activities!$C67&lt;=10,Activities!$D67&gt;=10))),IF(Activities!$H67="Coaches","🌱 ",IF(Activities!$H67="Coordinators","⚙️ ",IF(Activities!$H67="Both","👥 ","")))&amp;Activities!$B67&amp;CHAR(10)&amp;REPT("●",Activities!$F67),"")</f>
        <v/>
      </c>
      <c r="M66" s="7" t="str">
        <f>IF(AND(Activities!$A67&lt;&gt;"",IF(Activities!$E67&lt;&gt;"",ISNUMBER(SEARCH(",11,",","&amp;Activities!$E67&amp;",")),AND(Activities!$C67&lt;=11,Activities!$D67&gt;=11))),IF(Activities!$H67="Coaches","🌱 ",IF(Activities!$H67="Coordinators","⚙️ ",IF(Activities!$H67="Both","👥 ","")))&amp;Activities!$B67&amp;CHAR(10)&amp;REPT("●",Activities!$F67),"")</f>
        <v/>
      </c>
      <c r="N66" s="7" t="str">
        <f>IF(AND(Activities!$A67&lt;&gt;"",IF(Activities!$E67&lt;&gt;"",ISNUMBER(SEARCH(",12,",","&amp;Activities!$E67&amp;",")),AND(Activities!$C67&lt;=12,Activities!$D67&gt;=12))),IF(Activities!$H67="Coaches","🌱 ",IF(Activities!$H67="Coordinators","⚙️ ",IF(Activities!$H67="Both","👥 ","")))&amp;Activities!$B67&amp;CHAR(10)&amp;REPT("●",Activities!$F67),"")</f>
        <v/>
      </c>
    </row>
    <row r="67" spans="1:14" s="8" customFormat="1" ht="20">
      <c r="A67" s="14" t="str">
        <f>IF(Activities!$A68&lt;&gt;"",Activities!$A68,"")</f>
        <v/>
      </c>
      <c r="B67" s="7" t="str">
        <f>IF(Activities!$B68&lt;&gt;"",Activities!$B68,"")</f>
        <v/>
      </c>
      <c r="C67" s="7" t="str">
        <f>IF(AND(Activities!$A68&lt;&gt;"",IF(Activities!$E68&lt;&gt;"",ISNUMBER(SEARCH(",1,",","&amp;Activities!$E68&amp;",")),AND(Activities!$C68&lt;=1,Activities!$D68&gt;=1))),IF(Activities!$H68="Coaches","🌱 ",IF(Activities!$H68="Coordinators","⚙️ ",IF(Activities!$H68="Both","👥 ","")))&amp;Activities!$B68&amp;CHAR(10)&amp;REPT("●",Activities!$F68),"")</f>
        <v/>
      </c>
      <c r="D67" s="7" t="str">
        <f>IF(AND(Activities!$A68&lt;&gt;"",IF(Activities!$E68&lt;&gt;"",ISNUMBER(SEARCH(",2,",","&amp;Activities!$E68&amp;",")),AND(Activities!$C68&lt;=2,Activities!$D68&gt;=2))),IF(Activities!$H68="Coaches","🌱 ",IF(Activities!$H68="Coordinators","⚙️ ",IF(Activities!$H68="Both","👥 ","")))&amp;Activities!$B68&amp;CHAR(10)&amp;REPT("●",Activities!$F68),"")</f>
        <v/>
      </c>
      <c r="E67" s="7" t="str">
        <f>IF(AND(Activities!$A68&lt;&gt;"",IF(Activities!$E68&lt;&gt;"",ISNUMBER(SEARCH(",3,",","&amp;Activities!$E68&amp;",")),AND(Activities!$C68&lt;=3,Activities!$D68&gt;=3))),IF(Activities!$H68="Coaches","🌱 ",IF(Activities!$H68="Coordinators","⚙️ ",IF(Activities!$H68="Both","👥 ","")))&amp;Activities!$B68&amp;CHAR(10)&amp;REPT("●",Activities!$F68),"")</f>
        <v/>
      </c>
      <c r="F67" s="7" t="str">
        <f>IF(AND(Activities!$A68&lt;&gt;"",IF(Activities!$E68&lt;&gt;"",ISNUMBER(SEARCH(",4,",","&amp;Activities!$E68&amp;",")),AND(Activities!$C68&lt;=4,Activities!$D68&gt;=4))),IF(Activities!$H68="Coaches","🌱 ",IF(Activities!$H68="Coordinators","⚙️ ",IF(Activities!$H68="Both","👥 ","")))&amp;Activities!$B68&amp;CHAR(10)&amp;REPT("●",Activities!$F68),"")</f>
        <v/>
      </c>
      <c r="G67" s="7" t="str">
        <f>IF(AND(Activities!$A68&lt;&gt;"",IF(Activities!$E68&lt;&gt;"",ISNUMBER(SEARCH(",5,",","&amp;Activities!$E68&amp;",")),AND(Activities!$C68&lt;=5,Activities!$D68&gt;=5))),IF(Activities!$H68="Coaches","🌱 ",IF(Activities!$H68="Coordinators","⚙️ ",IF(Activities!$H68="Both","👥 ","")))&amp;Activities!$B68&amp;CHAR(10)&amp;REPT("●",Activities!$F68),"")</f>
        <v/>
      </c>
      <c r="H67" s="7" t="str">
        <f>IF(AND(Activities!$A68&lt;&gt;"",IF(Activities!$E68&lt;&gt;"",ISNUMBER(SEARCH(",6,",","&amp;Activities!$E68&amp;",")),AND(Activities!$C68&lt;=6,Activities!$D68&gt;=6))),IF(Activities!$H68="Coaches","🌱 ",IF(Activities!$H68="Coordinators","⚙️ ",IF(Activities!$H68="Both","👥 ","")))&amp;Activities!$B68&amp;CHAR(10)&amp;REPT("●",Activities!$F68),"")</f>
        <v/>
      </c>
      <c r="I67" s="7" t="str">
        <f>IF(AND(Activities!$A68&lt;&gt;"",IF(Activities!$E68&lt;&gt;"",ISNUMBER(SEARCH(",7,",","&amp;Activities!$E68&amp;",")),AND(Activities!$C68&lt;=7,Activities!$D68&gt;=7))),IF(Activities!$H68="Coaches","🌱 ",IF(Activities!$H68="Coordinators","⚙️ ",IF(Activities!$H68="Both","👥 ","")))&amp;Activities!$B68&amp;CHAR(10)&amp;REPT("●",Activities!$F68),"")</f>
        <v/>
      </c>
      <c r="J67" s="7" t="str">
        <f>IF(AND(Activities!$A68&lt;&gt;"",IF(Activities!$E68&lt;&gt;"",ISNUMBER(SEARCH(",8,",","&amp;Activities!$E68&amp;",")),AND(Activities!$C68&lt;=8,Activities!$D68&gt;=8))),IF(Activities!$H68="Coaches","🌱 ",IF(Activities!$H68="Coordinators","⚙️ ",IF(Activities!$H68="Both","👥 ","")))&amp;Activities!$B68&amp;CHAR(10)&amp;REPT("●",Activities!$F68),"")</f>
        <v/>
      </c>
      <c r="K67" s="7" t="str">
        <f>IF(AND(Activities!$A68&lt;&gt;"",IF(Activities!$E68&lt;&gt;"",ISNUMBER(SEARCH(",9,",","&amp;Activities!$E68&amp;",")),AND(Activities!$C68&lt;=9,Activities!$D68&gt;=9))),IF(Activities!$H68="Coaches","🌱 ",IF(Activities!$H68="Coordinators","⚙️ ",IF(Activities!$H68="Both","👥 ","")))&amp;Activities!$B68&amp;CHAR(10)&amp;REPT("●",Activities!$F68),"")</f>
        <v/>
      </c>
      <c r="L67" s="7" t="str">
        <f>IF(AND(Activities!$A68&lt;&gt;"",IF(Activities!$E68&lt;&gt;"",ISNUMBER(SEARCH(",10,",","&amp;Activities!$E68&amp;",")),AND(Activities!$C68&lt;=10,Activities!$D68&gt;=10))),IF(Activities!$H68="Coaches","🌱 ",IF(Activities!$H68="Coordinators","⚙️ ",IF(Activities!$H68="Both","👥 ","")))&amp;Activities!$B68&amp;CHAR(10)&amp;REPT("●",Activities!$F68),"")</f>
        <v/>
      </c>
      <c r="M67" s="7" t="str">
        <f>IF(AND(Activities!$A68&lt;&gt;"",IF(Activities!$E68&lt;&gt;"",ISNUMBER(SEARCH(",11,",","&amp;Activities!$E68&amp;",")),AND(Activities!$C68&lt;=11,Activities!$D68&gt;=11))),IF(Activities!$H68="Coaches","🌱 ",IF(Activities!$H68="Coordinators","⚙️ ",IF(Activities!$H68="Both","👥 ","")))&amp;Activities!$B68&amp;CHAR(10)&amp;REPT("●",Activities!$F68),"")</f>
        <v/>
      </c>
      <c r="N67" s="7" t="str">
        <f>IF(AND(Activities!$A68&lt;&gt;"",IF(Activities!$E68&lt;&gt;"",ISNUMBER(SEARCH(",12,",","&amp;Activities!$E68&amp;",")),AND(Activities!$C68&lt;=12,Activities!$D68&gt;=12))),IF(Activities!$H68="Coaches","🌱 ",IF(Activities!$H68="Coordinators","⚙️ ",IF(Activities!$H68="Both","👥 ","")))&amp;Activities!$B68&amp;CHAR(10)&amp;REPT("●",Activities!$F68),"")</f>
        <v/>
      </c>
    </row>
    <row r="68" spans="1:14" s="8" customFormat="1" ht="20">
      <c r="A68" s="14" t="str">
        <f>IF(Activities!$A69&lt;&gt;"",Activities!$A69,"")</f>
        <v/>
      </c>
      <c r="B68" s="7" t="str">
        <f>IF(Activities!$B69&lt;&gt;"",Activities!$B69,"")</f>
        <v/>
      </c>
      <c r="C68" s="7" t="str">
        <f>IF(AND(Activities!$A69&lt;&gt;"",IF(Activities!$E69&lt;&gt;"",ISNUMBER(SEARCH(",1,",","&amp;Activities!$E69&amp;",")),AND(Activities!$C69&lt;=1,Activities!$D69&gt;=1))),IF(Activities!$H69="Coaches","🌱 ",IF(Activities!$H69="Coordinators","⚙️ ",IF(Activities!$H69="Both","👥 ","")))&amp;Activities!$B69&amp;CHAR(10)&amp;REPT("●",Activities!$F69),"")</f>
        <v/>
      </c>
      <c r="D68" s="7" t="str">
        <f>IF(AND(Activities!$A69&lt;&gt;"",IF(Activities!$E69&lt;&gt;"",ISNUMBER(SEARCH(",2,",","&amp;Activities!$E69&amp;",")),AND(Activities!$C69&lt;=2,Activities!$D69&gt;=2))),IF(Activities!$H69="Coaches","🌱 ",IF(Activities!$H69="Coordinators","⚙️ ",IF(Activities!$H69="Both","👥 ","")))&amp;Activities!$B69&amp;CHAR(10)&amp;REPT("●",Activities!$F69),"")</f>
        <v/>
      </c>
      <c r="E68" s="7" t="str">
        <f>IF(AND(Activities!$A69&lt;&gt;"",IF(Activities!$E69&lt;&gt;"",ISNUMBER(SEARCH(",3,",","&amp;Activities!$E69&amp;",")),AND(Activities!$C69&lt;=3,Activities!$D69&gt;=3))),IF(Activities!$H69="Coaches","🌱 ",IF(Activities!$H69="Coordinators","⚙️ ",IF(Activities!$H69="Both","👥 ","")))&amp;Activities!$B69&amp;CHAR(10)&amp;REPT("●",Activities!$F69),"")</f>
        <v/>
      </c>
      <c r="F68" s="7" t="str">
        <f>IF(AND(Activities!$A69&lt;&gt;"",IF(Activities!$E69&lt;&gt;"",ISNUMBER(SEARCH(",4,",","&amp;Activities!$E69&amp;",")),AND(Activities!$C69&lt;=4,Activities!$D69&gt;=4))),IF(Activities!$H69="Coaches","🌱 ",IF(Activities!$H69="Coordinators","⚙️ ",IF(Activities!$H69="Both","👥 ","")))&amp;Activities!$B69&amp;CHAR(10)&amp;REPT("●",Activities!$F69),"")</f>
        <v/>
      </c>
      <c r="G68" s="7" t="str">
        <f>IF(AND(Activities!$A69&lt;&gt;"",IF(Activities!$E69&lt;&gt;"",ISNUMBER(SEARCH(",5,",","&amp;Activities!$E69&amp;",")),AND(Activities!$C69&lt;=5,Activities!$D69&gt;=5))),IF(Activities!$H69="Coaches","🌱 ",IF(Activities!$H69="Coordinators","⚙️ ",IF(Activities!$H69="Both","👥 ","")))&amp;Activities!$B69&amp;CHAR(10)&amp;REPT("●",Activities!$F69),"")</f>
        <v/>
      </c>
      <c r="H68" s="7" t="str">
        <f>IF(AND(Activities!$A69&lt;&gt;"",IF(Activities!$E69&lt;&gt;"",ISNUMBER(SEARCH(",6,",","&amp;Activities!$E69&amp;",")),AND(Activities!$C69&lt;=6,Activities!$D69&gt;=6))),IF(Activities!$H69="Coaches","🌱 ",IF(Activities!$H69="Coordinators","⚙️ ",IF(Activities!$H69="Both","👥 ","")))&amp;Activities!$B69&amp;CHAR(10)&amp;REPT("●",Activities!$F69),"")</f>
        <v/>
      </c>
      <c r="I68" s="7" t="str">
        <f>IF(AND(Activities!$A69&lt;&gt;"",IF(Activities!$E69&lt;&gt;"",ISNUMBER(SEARCH(",7,",","&amp;Activities!$E69&amp;",")),AND(Activities!$C69&lt;=7,Activities!$D69&gt;=7))),IF(Activities!$H69="Coaches","🌱 ",IF(Activities!$H69="Coordinators","⚙️ ",IF(Activities!$H69="Both","👥 ","")))&amp;Activities!$B69&amp;CHAR(10)&amp;REPT("●",Activities!$F69),"")</f>
        <v/>
      </c>
      <c r="J68" s="7" t="str">
        <f>IF(AND(Activities!$A69&lt;&gt;"",IF(Activities!$E69&lt;&gt;"",ISNUMBER(SEARCH(",8,",","&amp;Activities!$E69&amp;",")),AND(Activities!$C69&lt;=8,Activities!$D69&gt;=8))),IF(Activities!$H69="Coaches","🌱 ",IF(Activities!$H69="Coordinators","⚙️ ",IF(Activities!$H69="Both","👥 ","")))&amp;Activities!$B69&amp;CHAR(10)&amp;REPT("●",Activities!$F69),"")</f>
        <v/>
      </c>
      <c r="K68" s="7" t="str">
        <f>IF(AND(Activities!$A69&lt;&gt;"",IF(Activities!$E69&lt;&gt;"",ISNUMBER(SEARCH(",9,",","&amp;Activities!$E69&amp;",")),AND(Activities!$C69&lt;=9,Activities!$D69&gt;=9))),IF(Activities!$H69="Coaches","🌱 ",IF(Activities!$H69="Coordinators","⚙️ ",IF(Activities!$H69="Both","👥 ","")))&amp;Activities!$B69&amp;CHAR(10)&amp;REPT("●",Activities!$F69),"")</f>
        <v/>
      </c>
      <c r="L68" s="7" t="str">
        <f>IF(AND(Activities!$A69&lt;&gt;"",IF(Activities!$E69&lt;&gt;"",ISNUMBER(SEARCH(",10,",","&amp;Activities!$E69&amp;",")),AND(Activities!$C69&lt;=10,Activities!$D69&gt;=10))),IF(Activities!$H69="Coaches","🌱 ",IF(Activities!$H69="Coordinators","⚙️ ",IF(Activities!$H69="Both","👥 ","")))&amp;Activities!$B69&amp;CHAR(10)&amp;REPT("●",Activities!$F69),"")</f>
        <v/>
      </c>
      <c r="M68" s="7" t="str">
        <f>IF(AND(Activities!$A69&lt;&gt;"",IF(Activities!$E69&lt;&gt;"",ISNUMBER(SEARCH(",11,",","&amp;Activities!$E69&amp;",")),AND(Activities!$C69&lt;=11,Activities!$D69&gt;=11))),IF(Activities!$H69="Coaches","🌱 ",IF(Activities!$H69="Coordinators","⚙️ ",IF(Activities!$H69="Both","👥 ","")))&amp;Activities!$B69&amp;CHAR(10)&amp;REPT("●",Activities!$F69),"")</f>
        <v/>
      </c>
      <c r="N68" s="7" t="str">
        <f>IF(AND(Activities!$A69&lt;&gt;"",IF(Activities!$E69&lt;&gt;"",ISNUMBER(SEARCH(",12,",","&amp;Activities!$E69&amp;",")),AND(Activities!$C69&lt;=12,Activities!$D69&gt;=12))),IF(Activities!$H69="Coaches","🌱 ",IF(Activities!$H69="Coordinators","⚙️ ",IF(Activities!$H69="Both","👥 ","")))&amp;Activities!$B69&amp;CHAR(10)&amp;REPT("●",Activities!$F69),"")</f>
        <v/>
      </c>
    </row>
    <row r="69" spans="1:14" s="8" customFormat="1" ht="20">
      <c r="A69" s="14" t="str">
        <f>IF(Activities!$A70&lt;&gt;"",Activities!$A70,"")</f>
        <v/>
      </c>
      <c r="B69" s="7" t="str">
        <f>IF(Activities!$B70&lt;&gt;"",Activities!$B70,"")</f>
        <v/>
      </c>
      <c r="C69" s="7" t="str">
        <f>IF(AND(Activities!$A70&lt;&gt;"",IF(Activities!$E70&lt;&gt;"",ISNUMBER(SEARCH(",1,",","&amp;Activities!$E70&amp;",")),AND(Activities!$C70&lt;=1,Activities!$D70&gt;=1))),IF(Activities!$H70="Coaches","🌱 ",IF(Activities!$H70="Coordinators","⚙️ ",IF(Activities!$H70="Both","👥 ","")))&amp;Activities!$B70&amp;CHAR(10)&amp;REPT("●",Activities!$F70),"")</f>
        <v/>
      </c>
      <c r="D69" s="7" t="str">
        <f>IF(AND(Activities!$A70&lt;&gt;"",IF(Activities!$E70&lt;&gt;"",ISNUMBER(SEARCH(",2,",","&amp;Activities!$E70&amp;",")),AND(Activities!$C70&lt;=2,Activities!$D70&gt;=2))),IF(Activities!$H70="Coaches","🌱 ",IF(Activities!$H70="Coordinators","⚙️ ",IF(Activities!$H70="Both","👥 ","")))&amp;Activities!$B70&amp;CHAR(10)&amp;REPT("●",Activities!$F70),"")</f>
        <v/>
      </c>
      <c r="E69" s="7" t="str">
        <f>IF(AND(Activities!$A70&lt;&gt;"",IF(Activities!$E70&lt;&gt;"",ISNUMBER(SEARCH(",3,",","&amp;Activities!$E70&amp;",")),AND(Activities!$C70&lt;=3,Activities!$D70&gt;=3))),IF(Activities!$H70="Coaches","🌱 ",IF(Activities!$H70="Coordinators","⚙️ ",IF(Activities!$H70="Both","👥 ","")))&amp;Activities!$B70&amp;CHAR(10)&amp;REPT("●",Activities!$F70),"")</f>
        <v/>
      </c>
      <c r="F69" s="7" t="str">
        <f>IF(AND(Activities!$A70&lt;&gt;"",IF(Activities!$E70&lt;&gt;"",ISNUMBER(SEARCH(",4,",","&amp;Activities!$E70&amp;",")),AND(Activities!$C70&lt;=4,Activities!$D70&gt;=4))),IF(Activities!$H70="Coaches","🌱 ",IF(Activities!$H70="Coordinators","⚙️ ",IF(Activities!$H70="Both","👥 ","")))&amp;Activities!$B70&amp;CHAR(10)&amp;REPT("●",Activities!$F70),"")</f>
        <v/>
      </c>
      <c r="G69" s="7" t="str">
        <f>IF(AND(Activities!$A70&lt;&gt;"",IF(Activities!$E70&lt;&gt;"",ISNUMBER(SEARCH(",5,",","&amp;Activities!$E70&amp;",")),AND(Activities!$C70&lt;=5,Activities!$D70&gt;=5))),IF(Activities!$H70="Coaches","🌱 ",IF(Activities!$H70="Coordinators","⚙️ ",IF(Activities!$H70="Both","👥 ","")))&amp;Activities!$B70&amp;CHAR(10)&amp;REPT("●",Activities!$F70),"")</f>
        <v/>
      </c>
      <c r="H69" s="7" t="str">
        <f>IF(AND(Activities!$A70&lt;&gt;"",IF(Activities!$E70&lt;&gt;"",ISNUMBER(SEARCH(",6,",","&amp;Activities!$E70&amp;",")),AND(Activities!$C70&lt;=6,Activities!$D70&gt;=6))),IF(Activities!$H70="Coaches","🌱 ",IF(Activities!$H70="Coordinators","⚙️ ",IF(Activities!$H70="Both","👥 ","")))&amp;Activities!$B70&amp;CHAR(10)&amp;REPT("●",Activities!$F70),"")</f>
        <v/>
      </c>
      <c r="I69" s="7" t="str">
        <f>IF(AND(Activities!$A70&lt;&gt;"",IF(Activities!$E70&lt;&gt;"",ISNUMBER(SEARCH(",7,",","&amp;Activities!$E70&amp;",")),AND(Activities!$C70&lt;=7,Activities!$D70&gt;=7))),IF(Activities!$H70="Coaches","🌱 ",IF(Activities!$H70="Coordinators","⚙️ ",IF(Activities!$H70="Both","👥 ","")))&amp;Activities!$B70&amp;CHAR(10)&amp;REPT("●",Activities!$F70),"")</f>
        <v/>
      </c>
      <c r="J69" s="7" t="str">
        <f>IF(AND(Activities!$A70&lt;&gt;"",IF(Activities!$E70&lt;&gt;"",ISNUMBER(SEARCH(",8,",","&amp;Activities!$E70&amp;",")),AND(Activities!$C70&lt;=8,Activities!$D70&gt;=8))),IF(Activities!$H70="Coaches","🌱 ",IF(Activities!$H70="Coordinators","⚙️ ",IF(Activities!$H70="Both","👥 ","")))&amp;Activities!$B70&amp;CHAR(10)&amp;REPT("●",Activities!$F70),"")</f>
        <v/>
      </c>
      <c r="K69" s="7" t="str">
        <f>IF(AND(Activities!$A70&lt;&gt;"",IF(Activities!$E70&lt;&gt;"",ISNUMBER(SEARCH(",9,",","&amp;Activities!$E70&amp;",")),AND(Activities!$C70&lt;=9,Activities!$D70&gt;=9))),IF(Activities!$H70="Coaches","🌱 ",IF(Activities!$H70="Coordinators","⚙️ ",IF(Activities!$H70="Both","👥 ","")))&amp;Activities!$B70&amp;CHAR(10)&amp;REPT("●",Activities!$F70),"")</f>
        <v/>
      </c>
      <c r="L69" s="7" t="str">
        <f>IF(AND(Activities!$A70&lt;&gt;"",IF(Activities!$E70&lt;&gt;"",ISNUMBER(SEARCH(",10,",","&amp;Activities!$E70&amp;",")),AND(Activities!$C70&lt;=10,Activities!$D70&gt;=10))),IF(Activities!$H70="Coaches","🌱 ",IF(Activities!$H70="Coordinators","⚙️ ",IF(Activities!$H70="Both","👥 ","")))&amp;Activities!$B70&amp;CHAR(10)&amp;REPT("●",Activities!$F70),"")</f>
        <v/>
      </c>
      <c r="M69" s="7" t="str">
        <f>IF(AND(Activities!$A70&lt;&gt;"",IF(Activities!$E70&lt;&gt;"",ISNUMBER(SEARCH(",11,",","&amp;Activities!$E70&amp;",")),AND(Activities!$C70&lt;=11,Activities!$D70&gt;=11))),IF(Activities!$H70="Coaches","🌱 ",IF(Activities!$H70="Coordinators","⚙️ ",IF(Activities!$H70="Both","👥 ","")))&amp;Activities!$B70&amp;CHAR(10)&amp;REPT("●",Activities!$F70),"")</f>
        <v/>
      </c>
      <c r="N69" s="7" t="str">
        <f>IF(AND(Activities!$A70&lt;&gt;"",IF(Activities!$E70&lt;&gt;"",ISNUMBER(SEARCH(",12,",","&amp;Activities!$E70&amp;",")),AND(Activities!$C70&lt;=12,Activities!$D70&gt;=12))),IF(Activities!$H70="Coaches","🌱 ",IF(Activities!$H70="Coordinators","⚙️ ",IF(Activities!$H70="Both","👥 ","")))&amp;Activities!$B70&amp;CHAR(10)&amp;REPT("●",Activities!$F70),"")</f>
        <v/>
      </c>
    </row>
    <row r="70" spans="1:14" s="8" customFormat="1" ht="20">
      <c r="A70" s="14" t="str">
        <f>IF(Activities!$A71&lt;&gt;"",Activities!$A71,"")</f>
        <v/>
      </c>
      <c r="B70" s="7" t="str">
        <f>IF(Activities!$B71&lt;&gt;"",Activities!$B71,"")</f>
        <v/>
      </c>
      <c r="C70" s="7" t="str">
        <f>IF(AND(Activities!$A71&lt;&gt;"",IF(Activities!$E71&lt;&gt;"",ISNUMBER(SEARCH(",1,",","&amp;Activities!$E71&amp;",")),AND(Activities!$C71&lt;=1,Activities!$D71&gt;=1))),IF(Activities!$H71="Coaches","🌱 ",IF(Activities!$H71="Coordinators","⚙️ ",IF(Activities!$H71="Both","👥 ","")))&amp;Activities!$B71&amp;CHAR(10)&amp;REPT("●",Activities!$F71),"")</f>
        <v/>
      </c>
      <c r="D70" s="7" t="str">
        <f>IF(AND(Activities!$A71&lt;&gt;"",IF(Activities!$E71&lt;&gt;"",ISNUMBER(SEARCH(",2,",","&amp;Activities!$E71&amp;",")),AND(Activities!$C71&lt;=2,Activities!$D71&gt;=2))),IF(Activities!$H71="Coaches","🌱 ",IF(Activities!$H71="Coordinators","⚙️ ",IF(Activities!$H71="Both","👥 ","")))&amp;Activities!$B71&amp;CHAR(10)&amp;REPT("●",Activities!$F71),"")</f>
        <v/>
      </c>
      <c r="E70" s="7" t="str">
        <f>IF(AND(Activities!$A71&lt;&gt;"",IF(Activities!$E71&lt;&gt;"",ISNUMBER(SEARCH(",3,",","&amp;Activities!$E71&amp;",")),AND(Activities!$C71&lt;=3,Activities!$D71&gt;=3))),IF(Activities!$H71="Coaches","🌱 ",IF(Activities!$H71="Coordinators","⚙️ ",IF(Activities!$H71="Both","👥 ","")))&amp;Activities!$B71&amp;CHAR(10)&amp;REPT("●",Activities!$F71),"")</f>
        <v/>
      </c>
      <c r="F70" s="7" t="str">
        <f>IF(AND(Activities!$A71&lt;&gt;"",IF(Activities!$E71&lt;&gt;"",ISNUMBER(SEARCH(",4,",","&amp;Activities!$E71&amp;",")),AND(Activities!$C71&lt;=4,Activities!$D71&gt;=4))),IF(Activities!$H71="Coaches","🌱 ",IF(Activities!$H71="Coordinators","⚙️ ",IF(Activities!$H71="Both","👥 ","")))&amp;Activities!$B71&amp;CHAR(10)&amp;REPT("●",Activities!$F71),"")</f>
        <v/>
      </c>
      <c r="G70" s="7" t="str">
        <f>IF(AND(Activities!$A71&lt;&gt;"",IF(Activities!$E71&lt;&gt;"",ISNUMBER(SEARCH(",5,",","&amp;Activities!$E71&amp;",")),AND(Activities!$C71&lt;=5,Activities!$D71&gt;=5))),IF(Activities!$H71="Coaches","🌱 ",IF(Activities!$H71="Coordinators","⚙️ ",IF(Activities!$H71="Both","👥 ","")))&amp;Activities!$B71&amp;CHAR(10)&amp;REPT("●",Activities!$F71),"")</f>
        <v/>
      </c>
      <c r="H70" s="7" t="str">
        <f>IF(AND(Activities!$A71&lt;&gt;"",IF(Activities!$E71&lt;&gt;"",ISNUMBER(SEARCH(",6,",","&amp;Activities!$E71&amp;",")),AND(Activities!$C71&lt;=6,Activities!$D71&gt;=6))),IF(Activities!$H71="Coaches","🌱 ",IF(Activities!$H71="Coordinators","⚙️ ",IF(Activities!$H71="Both","👥 ","")))&amp;Activities!$B71&amp;CHAR(10)&amp;REPT("●",Activities!$F71),"")</f>
        <v/>
      </c>
      <c r="I70" s="7" t="str">
        <f>IF(AND(Activities!$A71&lt;&gt;"",IF(Activities!$E71&lt;&gt;"",ISNUMBER(SEARCH(",7,",","&amp;Activities!$E71&amp;",")),AND(Activities!$C71&lt;=7,Activities!$D71&gt;=7))),IF(Activities!$H71="Coaches","🌱 ",IF(Activities!$H71="Coordinators","⚙️ ",IF(Activities!$H71="Both","👥 ","")))&amp;Activities!$B71&amp;CHAR(10)&amp;REPT("●",Activities!$F71),"")</f>
        <v/>
      </c>
      <c r="J70" s="7" t="str">
        <f>IF(AND(Activities!$A71&lt;&gt;"",IF(Activities!$E71&lt;&gt;"",ISNUMBER(SEARCH(",8,",","&amp;Activities!$E71&amp;",")),AND(Activities!$C71&lt;=8,Activities!$D71&gt;=8))),IF(Activities!$H71="Coaches","🌱 ",IF(Activities!$H71="Coordinators","⚙️ ",IF(Activities!$H71="Both","👥 ","")))&amp;Activities!$B71&amp;CHAR(10)&amp;REPT("●",Activities!$F71),"")</f>
        <v/>
      </c>
      <c r="K70" s="7" t="str">
        <f>IF(AND(Activities!$A71&lt;&gt;"",IF(Activities!$E71&lt;&gt;"",ISNUMBER(SEARCH(",9,",","&amp;Activities!$E71&amp;",")),AND(Activities!$C71&lt;=9,Activities!$D71&gt;=9))),IF(Activities!$H71="Coaches","🌱 ",IF(Activities!$H71="Coordinators","⚙️ ",IF(Activities!$H71="Both","👥 ","")))&amp;Activities!$B71&amp;CHAR(10)&amp;REPT("●",Activities!$F71),"")</f>
        <v/>
      </c>
      <c r="L70" s="7" t="str">
        <f>IF(AND(Activities!$A71&lt;&gt;"",IF(Activities!$E71&lt;&gt;"",ISNUMBER(SEARCH(",10,",","&amp;Activities!$E71&amp;",")),AND(Activities!$C71&lt;=10,Activities!$D71&gt;=10))),IF(Activities!$H71="Coaches","🌱 ",IF(Activities!$H71="Coordinators","⚙️ ",IF(Activities!$H71="Both","👥 ","")))&amp;Activities!$B71&amp;CHAR(10)&amp;REPT("●",Activities!$F71),"")</f>
        <v/>
      </c>
      <c r="M70" s="7" t="str">
        <f>IF(AND(Activities!$A71&lt;&gt;"",IF(Activities!$E71&lt;&gt;"",ISNUMBER(SEARCH(",11,",","&amp;Activities!$E71&amp;",")),AND(Activities!$C71&lt;=11,Activities!$D71&gt;=11))),IF(Activities!$H71="Coaches","🌱 ",IF(Activities!$H71="Coordinators","⚙️ ",IF(Activities!$H71="Both","👥 ","")))&amp;Activities!$B71&amp;CHAR(10)&amp;REPT("●",Activities!$F71),"")</f>
        <v/>
      </c>
      <c r="N70" s="7" t="str">
        <f>IF(AND(Activities!$A71&lt;&gt;"",IF(Activities!$E71&lt;&gt;"",ISNUMBER(SEARCH(",12,",","&amp;Activities!$E71&amp;",")),AND(Activities!$C71&lt;=12,Activities!$D71&gt;=12))),IF(Activities!$H71="Coaches","🌱 ",IF(Activities!$H71="Coordinators","⚙️ ",IF(Activities!$H71="Both","👥 ","")))&amp;Activities!$B71&amp;CHAR(10)&amp;REPT("●",Activities!$F71),"")</f>
        <v/>
      </c>
    </row>
    <row r="71" spans="1:14" s="8" customFormat="1" ht="20">
      <c r="A71" s="14" t="str">
        <f>IF(Activities!$A72&lt;&gt;"",Activities!$A72,"")</f>
        <v/>
      </c>
      <c r="B71" s="7" t="str">
        <f>IF(Activities!$B72&lt;&gt;"",Activities!$B72,"")</f>
        <v/>
      </c>
      <c r="C71" s="7" t="str">
        <f>IF(AND(Activities!$A72&lt;&gt;"",IF(Activities!$E72&lt;&gt;"",ISNUMBER(SEARCH(",1,",","&amp;Activities!$E72&amp;",")),AND(Activities!$C72&lt;=1,Activities!$D72&gt;=1))),IF(Activities!$H72="Coaches","🌱 ",IF(Activities!$H72="Coordinators","⚙️ ",IF(Activities!$H72="Both","👥 ","")))&amp;Activities!$B72&amp;CHAR(10)&amp;REPT("●",Activities!$F72),"")</f>
        <v/>
      </c>
      <c r="D71" s="7" t="str">
        <f>IF(AND(Activities!$A72&lt;&gt;"",IF(Activities!$E72&lt;&gt;"",ISNUMBER(SEARCH(",2,",","&amp;Activities!$E72&amp;",")),AND(Activities!$C72&lt;=2,Activities!$D72&gt;=2))),IF(Activities!$H72="Coaches","🌱 ",IF(Activities!$H72="Coordinators","⚙️ ",IF(Activities!$H72="Both","👥 ","")))&amp;Activities!$B72&amp;CHAR(10)&amp;REPT("●",Activities!$F72),"")</f>
        <v/>
      </c>
      <c r="E71" s="7" t="str">
        <f>IF(AND(Activities!$A72&lt;&gt;"",IF(Activities!$E72&lt;&gt;"",ISNUMBER(SEARCH(",3,",","&amp;Activities!$E72&amp;",")),AND(Activities!$C72&lt;=3,Activities!$D72&gt;=3))),IF(Activities!$H72="Coaches","🌱 ",IF(Activities!$H72="Coordinators","⚙️ ",IF(Activities!$H72="Both","👥 ","")))&amp;Activities!$B72&amp;CHAR(10)&amp;REPT("●",Activities!$F72),"")</f>
        <v/>
      </c>
      <c r="F71" s="7" t="str">
        <f>IF(AND(Activities!$A72&lt;&gt;"",IF(Activities!$E72&lt;&gt;"",ISNUMBER(SEARCH(",4,",","&amp;Activities!$E72&amp;",")),AND(Activities!$C72&lt;=4,Activities!$D72&gt;=4))),IF(Activities!$H72="Coaches","🌱 ",IF(Activities!$H72="Coordinators","⚙️ ",IF(Activities!$H72="Both","👥 ","")))&amp;Activities!$B72&amp;CHAR(10)&amp;REPT("●",Activities!$F72),"")</f>
        <v/>
      </c>
      <c r="G71" s="7" t="str">
        <f>IF(AND(Activities!$A72&lt;&gt;"",IF(Activities!$E72&lt;&gt;"",ISNUMBER(SEARCH(",5,",","&amp;Activities!$E72&amp;",")),AND(Activities!$C72&lt;=5,Activities!$D72&gt;=5))),IF(Activities!$H72="Coaches","🌱 ",IF(Activities!$H72="Coordinators","⚙️ ",IF(Activities!$H72="Both","👥 ","")))&amp;Activities!$B72&amp;CHAR(10)&amp;REPT("●",Activities!$F72),"")</f>
        <v/>
      </c>
      <c r="H71" s="7" t="str">
        <f>IF(AND(Activities!$A72&lt;&gt;"",IF(Activities!$E72&lt;&gt;"",ISNUMBER(SEARCH(",6,",","&amp;Activities!$E72&amp;",")),AND(Activities!$C72&lt;=6,Activities!$D72&gt;=6))),IF(Activities!$H72="Coaches","🌱 ",IF(Activities!$H72="Coordinators","⚙️ ",IF(Activities!$H72="Both","👥 ","")))&amp;Activities!$B72&amp;CHAR(10)&amp;REPT("●",Activities!$F72),"")</f>
        <v/>
      </c>
      <c r="I71" s="7" t="str">
        <f>IF(AND(Activities!$A72&lt;&gt;"",IF(Activities!$E72&lt;&gt;"",ISNUMBER(SEARCH(",7,",","&amp;Activities!$E72&amp;",")),AND(Activities!$C72&lt;=7,Activities!$D72&gt;=7))),IF(Activities!$H72="Coaches","🌱 ",IF(Activities!$H72="Coordinators","⚙️ ",IF(Activities!$H72="Both","👥 ","")))&amp;Activities!$B72&amp;CHAR(10)&amp;REPT("●",Activities!$F72),"")</f>
        <v/>
      </c>
      <c r="J71" s="7" t="str">
        <f>IF(AND(Activities!$A72&lt;&gt;"",IF(Activities!$E72&lt;&gt;"",ISNUMBER(SEARCH(",8,",","&amp;Activities!$E72&amp;",")),AND(Activities!$C72&lt;=8,Activities!$D72&gt;=8))),IF(Activities!$H72="Coaches","🌱 ",IF(Activities!$H72="Coordinators","⚙️ ",IF(Activities!$H72="Both","👥 ","")))&amp;Activities!$B72&amp;CHAR(10)&amp;REPT("●",Activities!$F72),"")</f>
        <v/>
      </c>
      <c r="K71" s="7" t="str">
        <f>IF(AND(Activities!$A72&lt;&gt;"",IF(Activities!$E72&lt;&gt;"",ISNUMBER(SEARCH(",9,",","&amp;Activities!$E72&amp;",")),AND(Activities!$C72&lt;=9,Activities!$D72&gt;=9))),IF(Activities!$H72="Coaches","🌱 ",IF(Activities!$H72="Coordinators","⚙️ ",IF(Activities!$H72="Both","👥 ","")))&amp;Activities!$B72&amp;CHAR(10)&amp;REPT("●",Activities!$F72),"")</f>
        <v/>
      </c>
      <c r="L71" s="7" t="str">
        <f>IF(AND(Activities!$A72&lt;&gt;"",IF(Activities!$E72&lt;&gt;"",ISNUMBER(SEARCH(",10,",","&amp;Activities!$E72&amp;",")),AND(Activities!$C72&lt;=10,Activities!$D72&gt;=10))),IF(Activities!$H72="Coaches","🌱 ",IF(Activities!$H72="Coordinators","⚙️ ",IF(Activities!$H72="Both","👥 ","")))&amp;Activities!$B72&amp;CHAR(10)&amp;REPT("●",Activities!$F72),"")</f>
        <v/>
      </c>
      <c r="M71" s="7" t="str">
        <f>IF(AND(Activities!$A72&lt;&gt;"",IF(Activities!$E72&lt;&gt;"",ISNUMBER(SEARCH(",11,",","&amp;Activities!$E72&amp;",")),AND(Activities!$C72&lt;=11,Activities!$D72&gt;=11))),IF(Activities!$H72="Coaches","🌱 ",IF(Activities!$H72="Coordinators","⚙️ ",IF(Activities!$H72="Both","👥 ","")))&amp;Activities!$B72&amp;CHAR(10)&amp;REPT("●",Activities!$F72),"")</f>
        <v/>
      </c>
      <c r="N71" s="7" t="str">
        <f>IF(AND(Activities!$A72&lt;&gt;"",IF(Activities!$E72&lt;&gt;"",ISNUMBER(SEARCH(",12,",","&amp;Activities!$E72&amp;",")),AND(Activities!$C72&lt;=12,Activities!$D72&gt;=12))),IF(Activities!$H72="Coaches","🌱 ",IF(Activities!$H72="Coordinators","⚙️ ",IF(Activities!$H72="Both","👥 ","")))&amp;Activities!$B72&amp;CHAR(10)&amp;REPT("●",Activities!$F72),"")</f>
        <v/>
      </c>
    </row>
    <row r="72" spans="1:14" s="8" customFormat="1" ht="20">
      <c r="A72" s="14" t="str">
        <f>IF(Activities!$A73&lt;&gt;"",Activities!$A73,"")</f>
        <v/>
      </c>
      <c r="B72" s="7" t="str">
        <f>IF(Activities!$B73&lt;&gt;"",Activities!$B73,"")</f>
        <v/>
      </c>
      <c r="C72" s="7" t="str">
        <f>IF(AND(Activities!$A73&lt;&gt;"",IF(Activities!$E73&lt;&gt;"",ISNUMBER(SEARCH(",1,",","&amp;Activities!$E73&amp;",")),AND(Activities!$C73&lt;=1,Activities!$D73&gt;=1))),IF(Activities!$H73="Coaches","🌱 ",IF(Activities!$H73="Coordinators","⚙️ ",IF(Activities!$H73="Both","👥 ","")))&amp;Activities!$B73&amp;CHAR(10)&amp;REPT("●",Activities!$F73),"")</f>
        <v/>
      </c>
      <c r="D72" s="7" t="str">
        <f>IF(AND(Activities!$A73&lt;&gt;"",IF(Activities!$E73&lt;&gt;"",ISNUMBER(SEARCH(",2,",","&amp;Activities!$E73&amp;",")),AND(Activities!$C73&lt;=2,Activities!$D73&gt;=2))),IF(Activities!$H73="Coaches","🌱 ",IF(Activities!$H73="Coordinators","⚙️ ",IF(Activities!$H73="Both","👥 ","")))&amp;Activities!$B73&amp;CHAR(10)&amp;REPT("●",Activities!$F73),"")</f>
        <v/>
      </c>
      <c r="E72" s="7" t="str">
        <f>IF(AND(Activities!$A73&lt;&gt;"",IF(Activities!$E73&lt;&gt;"",ISNUMBER(SEARCH(",3,",","&amp;Activities!$E73&amp;",")),AND(Activities!$C73&lt;=3,Activities!$D73&gt;=3))),IF(Activities!$H73="Coaches","🌱 ",IF(Activities!$H73="Coordinators","⚙️ ",IF(Activities!$H73="Both","👥 ","")))&amp;Activities!$B73&amp;CHAR(10)&amp;REPT("●",Activities!$F73),"")</f>
        <v/>
      </c>
      <c r="F72" s="7" t="str">
        <f>IF(AND(Activities!$A73&lt;&gt;"",IF(Activities!$E73&lt;&gt;"",ISNUMBER(SEARCH(",4,",","&amp;Activities!$E73&amp;",")),AND(Activities!$C73&lt;=4,Activities!$D73&gt;=4))),IF(Activities!$H73="Coaches","🌱 ",IF(Activities!$H73="Coordinators","⚙️ ",IF(Activities!$H73="Both","👥 ","")))&amp;Activities!$B73&amp;CHAR(10)&amp;REPT("●",Activities!$F73),"")</f>
        <v/>
      </c>
      <c r="G72" s="7" t="str">
        <f>IF(AND(Activities!$A73&lt;&gt;"",IF(Activities!$E73&lt;&gt;"",ISNUMBER(SEARCH(",5,",","&amp;Activities!$E73&amp;",")),AND(Activities!$C73&lt;=5,Activities!$D73&gt;=5))),IF(Activities!$H73="Coaches","🌱 ",IF(Activities!$H73="Coordinators","⚙️ ",IF(Activities!$H73="Both","👥 ","")))&amp;Activities!$B73&amp;CHAR(10)&amp;REPT("●",Activities!$F73),"")</f>
        <v/>
      </c>
      <c r="H72" s="7" t="str">
        <f>IF(AND(Activities!$A73&lt;&gt;"",IF(Activities!$E73&lt;&gt;"",ISNUMBER(SEARCH(",6,",","&amp;Activities!$E73&amp;",")),AND(Activities!$C73&lt;=6,Activities!$D73&gt;=6))),IF(Activities!$H73="Coaches","🌱 ",IF(Activities!$H73="Coordinators","⚙️ ",IF(Activities!$H73="Both","👥 ","")))&amp;Activities!$B73&amp;CHAR(10)&amp;REPT("●",Activities!$F73),"")</f>
        <v/>
      </c>
      <c r="I72" s="7" t="str">
        <f>IF(AND(Activities!$A73&lt;&gt;"",IF(Activities!$E73&lt;&gt;"",ISNUMBER(SEARCH(",7,",","&amp;Activities!$E73&amp;",")),AND(Activities!$C73&lt;=7,Activities!$D73&gt;=7))),IF(Activities!$H73="Coaches","🌱 ",IF(Activities!$H73="Coordinators","⚙️ ",IF(Activities!$H73="Both","👥 ","")))&amp;Activities!$B73&amp;CHAR(10)&amp;REPT("●",Activities!$F73),"")</f>
        <v/>
      </c>
      <c r="J72" s="7" t="str">
        <f>IF(AND(Activities!$A73&lt;&gt;"",IF(Activities!$E73&lt;&gt;"",ISNUMBER(SEARCH(",8,",","&amp;Activities!$E73&amp;",")),AND(Activities!$C73&lt;=8,Activities!$D73&gt;=8))),IF(Activities!$H73="Coaches","🌱 ",IF(Activities!$H73="Coordinators","⚙️ ",IF(Activities!$H73="Both","👥 ","")))&amp;Activities!$B73&amp;CHAR(10)&amp;REPT("●",Activities!$F73),"")</f>
        <v/>
      </c>
      <c r="K72" s="7" t="str">
        <f>IF(AND(Activities!$A73&lt;&gt;"",IF(Activities!$E73&lt;&gt;"",ISNUMBER(SEARCH(",9,",","&amp;Activities!$E73&amp;",")),AND(Activities!$C73&lt;=9,Activities!$D73&gt;=9))),IF(Activities!$H73="Coaches","🌱 ",IF(Activities!$H73="Coordinators","⚙️ ",IF(Activities!$H73="Both","👥 ","")))&amp;Activities!$B73&amp;CHAR(10)&amp;REPT("●",Activities!$F73),"")</f>
        <v/>
      </c>
      <c r="L72" s="7" t="str">
        <f>IF(AND(Activities!$A73&lt;&gt;"",IF(Activities!$E73&lt;&gt;"",ISNUMBER(SEARCH(",10,",","&amp;Activities!$E73&amp;",")),AND(Activities!$C73&lt;=10,Activities!$D73&gt;=10))),IF(Activities!$H73="Coaches","🌱 ",IF(Activities!$H73="Coordinators","⚙️ ",IF(Activities!$H73="Both","👥 ","")))&amp;Activities!$B73&amp;CHAR(10)&amp;REPT("●",Activities!$F73),"")</f>
        <v/>
      </c>
      <c r="M72" s="7" t="str">
        <f>IF(AND(Activities!$A73&lt;&gt;"",IF(Activities!$E73&lt;&gt;"",ISNUMBER(SEARCH(",11,",","&amp;Activities!$E73&amp;",")),AND(Activities!$C73&lt;=11,Activities!$D73&gt;=11))),IF(Activities!$H73="Coaches","🌱 ",IF(Activities!$H73="Coordinators","⚙️ ",IF(Activities!$H73="Both","👥 ","")))&amp;Activities!$B73&amp;CHAR(10)&amp;REPT("●",Activities!$F73),"")</f>
        <v/>
      </c>
      <c r="N72" s="7" t="str">
        <f>IF(AND(Activities!$A73&lt;&gt;"",IF(Activities!$E73&lt;&gt;"",ISNUMBER(SEARCH(",12,",","&amp;Activities!$E73&amp;",")),AND(Activities!$C73&lt;=12,Activities!$D73&gt;=12))),IF(Activities!$H73="Coaches","🌱 ",IF(Activities!$H73="Coordinators","⚙️ ",IF(Activities!$H73="Both","👥 ","")))&amp;Activities!$B73&amp;CHAR(10)&amp;REPT("●",Activities!$F73),"")</f>
        <v/>
      </c>
    </row>
    <row r="73" spans="1:14" s="8" customFormat="1" ht="20">
      <c r="A73" s="14" t="str">
        <f>IF(Activities!$A74&lt;&gt;"",Activities!$A74,"")</f>
        <v/>
      </c>
      <c r="B73" s="7" t="str">
        <f>IF(Activities!$B74&lt;&gt;"",Activities!$B74,"")</f>
        <v/>
      </c>
      <c r="C73" s="7" t="str">
        <f>IF(AND(Activities!$A74&lt;&gt;"",IF(Activities!$E74&lt;&gt;"",ISNUMBER(SEARCH(",1,",","&amp;Activities!$E74&amp;",")),AND(Activities!$C74&lt;=1,Activities!$D74&gt;=1))),IF(Activities!$H74="Coaches","🌱 ",IF(Activities!$H74="Coordinators","⚙️ ",IF(Activities!$H74="Both","👥 ","")))&amp;Activities!$B74&amp;CHAR(10)&amp;REPT("●",Activities!$F74),"")</f>
        <v/>
      </c>
      <c r="D73" s="7" t="str">
        <f>IF(AND(Activities!$A74&lt;&gt;"",IF(Activities!$E74&lt;&gt;"",ISNUMBER(SEARCH(",2,",","&amp;Activities!$E74&amp;",")),AND(Activities!$C74&lt;=2,Activities!$D74&gt;=2))),IF(Activities!$H74="Coaches","🌱 ",IF(Activities!$H74="Coordinators","⚙️ ",IF(Activities!$H74="Both","👥 ","")))&amp;Activities!$B74&amp;CHAR(10)&amp;REPT("●",Activities!$F74),"")</f>
        <v/>
      </c>
      <c r="E73" s="7" t="str">
        <f>IF(AND(Activities!$A74&lt;&gt;"",IF(Activities!$E74&lt;&gt;"",ISNUMBER(SEARCH(",3,",","&amp;Activities!$E74&amp;",")),AND(Activities!$C74&lt;=3,Activities!$D74&gt;=3))),IF(Activities!$H74="Coaches","🌱 ",IF(Activities!$H74="Coordinators","⚙️ ",IF(Activities!$H74="Both","👥 ","")))&amp;Activities!$B74&amp;CHAR(10)&amp;REPT("●",Activities!$F74),"")</f>
        <v/>
      </c>
      <c r="F73" s="7" t="str">
        <f>IF(AND(Activities!$A74&lt;&gt;"",IF(Activities!$E74&lt;&gt;"",ISNUMBER(SEARCH(",4,",","&amp;Activities!$E74&amp;",")),AND(Activities!$C74&lt;=4,Activities!$D74&gt;=4))),IF(Activities!$H74="Coaches","🌱 ",IF(Activities!$H74="Coordinators","⚙️ ",IF(Activities!$H74="Both","👥 ","")))&amp;Activities!$B74&amp;CHAR(10)&amp;REPT("●",Activities!$F74),"")</f>
        <v/>
      </c>
      <c r="G73" s="7" t="str">
        <f>IF(AND(Activities!$A74&lt;&gt;"",IF(Activities!$E74&lt;&gt;"",ISNUMBER(SEARCH(",5,",","&amp;Activities!$E74&amp;",")),AND(Activities!$C74&lt;=5,Activities!$D74&gt;=5))),IF(Activities!$H74="Coaches","🌱 ",IF(Activities!$H74="Coordinators","⚙️ ",IF(Activities!$H74="Both","👥 ","")))&amp;Activities!$B74&amp;CHAR(10)&amp;REPT("●",Activities!$F74),"")</f>
        <v/>
      </c>
      <c r="H73" s="7" t="str">
        <f>IF(AND(Activities!$A74&lt;&gt;"",IF(Activities!$E74&lt;&gt;"",ISNUMBER(SEARCH(",6,",","&amp;Activities!$E74&amp;",")),AND(Activities!$C74&lt;=6,Activities!$D74&gt;=6))),IF(Activities!$H74="Coaches","🌱 ",IF(Activities!$H74="Coordinators","⚙️ ",IF(Activities!$H74="Both","👥 ","")))&amp;Activities!$B74&amp;CHAR(10)&amp;REPT("●",Activities!$F74),"")</f>
        <v/>
      </c>
      <c r="I73" s="7" t="str">
        <f>IF(AND(Activities!$A74&lt;&gt;"",IF(Activities!$E74&lt;&gt;"",ISNUMBER(SEARCH(",7,",","&amp;Activities!$E74&amp;",")),AND(Activities!$C74&lt;=7,Activities!$D74&gt;=7))),IF(Activities!$H74="Coaches","🌱 ",IF(Activities!$H74="Coordinators","⚙️ ",IF(Activities!$H74="Both","👥 ","")))&amp;Activities!$B74&amp;CHAR(10)&amp;REPT("●",Activities!$F74),"")</f>
        <v/>
      </c>
      <c r="J73" s="7" t="str">
        <f>IF(AND(Activities!$A74&lt;&gt;"",IF(Activities!$E74&lt;&gt;"",ISNUMBER(SEARCH(",8,",","&amp;Activities!$E74&amp;",")),AND(Activities!$C74&lt;=8,Activities!$D74&gt;=8))),IF(Activities!$H74="Coaches","🌱 ",IF(Activities!$H74="Coordinators","⚙️ ",IF(Activities!$H74="Both","👥 ","")))&amp;Activities!$B74&amp;CHAR(10)&amp;REPT("●",Activities!$F74),"")</f>
        <v/>
      </c>
      <c r="K73" s="7" t="str">
        <f>IF(AND(Activities!$A74&lt;&gt;"",IF(Activities!$E74&lt;&gt;"",ISNUMBER(SEARCH(",9,",","&amp;Activities!$E74&amp;",")),AND(Activities!$C74&lt;=9,Activities!$D74&gt;=9))),IF(Activities!$H74="Coaches","🌱 ",IF(Activities!$H74="Coordinators","⚙️ ",IF(Activities!$H74="Both","👥 ","")))&amp;Activities!$B74&amp;CHAR(10)&amp;REPT("●",Activities!$F74),"")</f>
        <v/>
      </c>
      <c r="L73" s="7" t="str">
        <f>IF(AND(Activities!$A74&lt;&gt;"",IF(Activities!$E74&lt;&gt;"",ISNUMBER(SEARCH(",10,",","&amp;Activities!$E74&amp;",")),AND(Activities!$C74&lt;=10,Activities!$D74&gt;=10))),IF(Activities!$H74="Coaches","🌱 ",IF(Activities!$H74="Coordinators","⚙️ ",IF(Activities!$H74="Both","👥 ","")))&amp;Activities!$B74&amp;CHAR(10)&amp;REPT("●",Activities!$F74),"")</f>
        <v/>
      </c>
      <c r="M73" s="7" t="str">
        <f>IF(AND(Activities!$A74&lt;&gt;"",IF(Activities!$E74&lt;&gt;"",ISNUMBER(SEARCH(",11,",","&amp;Activities!$E74&amp;",")),AND(Activities!$C74&lt;=11,Activities!$D74&gt;=11))),IF(Activities!$H74="Coaches","🌱 ",IF(Activities!$H74="Coordinators","⚙️ ",IF(Activities!$H74="Both","👥 ","")))&amp;Activities!$B74&amp;CHAR(10)&amp;REPT("●",Activities!$F74),"")</f>
        <v/>
      </c>
      <c r="N73" s="7" t="str">
        <f>IF(AND(Activities!$A74&lt;&gt;"",IF(Activities!$E74&lt;&gt;"",ISNUMBER(SEARCH(",12,",","&amp;Activities!$E74&amp;",")),AND(Activities!$C74&lt;=12,Activities!$D74&gt;=12))),IF(Activities!$H74="Coaches","🌱 ",IF(Activities!$H74="Coordinators","⚙️ ",IF(Activities!$H74="Both","👥 ","")))&amp;Activities!$B74&amp;CHAR(10)&amp;REPT("●",Activities!$F74),"")</f>
        <v/>
      </c>
    </row>
    <row r="74" spans="1:14" s="8" customFormat="1" ht="20">
      <c r="A74" s="14" t="str">
        <f>IF(Activities!$A75&lt;&gt;"",Activities!$A75,"")</f>
        <v/>
      </c>
      <c r="B74" s="7" t="str">
        <f>IF(Activities!$B75&lt;&gt;"",Activities!$B75,"")</f>
        <v/>
      </c>
      <c r="C74" s="7" t="str">
        <f>IF(AND(Activities!$A75&lt;&gt;"",IF(Activities!$E75&lt;&gt;"",ISNUMBER(SEARCH(",1,",","&amp;Activities!$E75&amp;",")),AND(Activities!$C75&lt;=1,Activities!$D75&gt;=1))),IF(Activities!$H75="Coaches","🌱 ",IF(Activities!$H75="Coordinators","⚙️ ",IF(Activities!$H75="Both","👥 ","")))&amp;Activities!$B75&amp;CHAR(10)&amp;REPT("●",Activities!$F75),"")</f>
        <v/>
      </c>
      <c r="D74" s="7" t="str">
        <f>IF(AND(Activities!$A75&lt;&gt;"",IF(Activities!$E75&lt;&gt;"",ISNUMBER(SEARCH(",2,",","&amp;Activities!$E75&amp;",")),AND(Activities!$C75&lt;=2,Activities!$D75&gt;=2))),IF(Activities!$H75="Coaches","🌱 ",IF(Activities!$H75="Coordinators","⚙️ ",IF(Activities!$H75="Both","👥 ","")))&amp;Activities!$B75&amp;CHAR(10)&amp;REPT("●",Activities!$F75),"")</f>
        <v/>
      </c>
      <c r="E74" s="7" t="str">
        <f>IF(AND(Activities!$A75&lt;&gt;"",IF(Activities!$E75&lt;&gt;"",ISNUMBER(SEARCH(",3,",","&amp;Activities!$E75&amp;",")),AND(Activities!$C75&lt;=3,Activities!$D75&gt;=3))),IF(Activities!$H75="Coaches","🌱 ",IF(Activities!$H75="Coordinators","⚙️ ",IF(Activities!$H75="Both","👥 ","")))&amp;Activities!$B75&amp;CHAR(10)&amp;REPT("●",Activities!$F75),"")</f>
        <v/>
      </c>
      <c r="F74" s="7" t="str">
        <f>IF(AND(Activities!$A75&lt;&gt;"",IF(Activities!$E75&lt;&gt;"",ISNUMBER(SEARCH(",4,",","&amp;Activities!$E75&amp;",")),AND(Activities!$C75&lt;=4,Activities!$D75&gt;=4))),IF(Activities!$H75="Coaches","🌱 ",IF(Activities!$H75="Coordinators","⚙️ ",IF(Activities!$H75="Both","👥 ","")))&amp;Activities!$B75&amp;CHAR(10)&amp;REPT("●",Activities!$F75),"")</f>
        <v/>
      </c>
      <c r="G74" s="7" t="str">
        <f>IF(AND(Activities!$A75&lt;&gt;"",IF(Activities!$E75&lt;&gt;"",ISNUMBER(SEARCH(",5,",","&amp;Activities!$E75&amp;",")),AND(Activities!$C75&lt;=5,Activities!$D75&gt;=5))),IF(Activities!$H75="Coaches","🌱 ",IF(Activities!$H75="Coordinators","⚙️ ",IF(Activities!$H75="Both","👥 ","")))&amp;Activities!$B75&amp;CHAR(10)&amp;REPT("●",Activities!$F75),"")</f>
        <v/>
      </c>
      <c r="H74" s="7" t="str">
        <f>IF(AND(Activities!$A75&lt;&gt;"",IF(Activities!$E75&lt;&gt;"",ISNUMBER(SEARCH(",6,",","&amp;Activities!$E75&amp;",")),AND(Activities!$C75&lt;=6,Activities!$D75&gt;=6))),IF(Activities!$H75="Coaches","🌱 ",IF(Activities!$H75="Coordinators","⚙️ ",IF(Activities!$H75="Both","👥 ","")))&amp;Activities!$B75&amp;CHAR(10)&amp;REPT("●",Activities!$F75),"")</f>
        <v/>
      </c>
      <c r="I74" s="7" t="str">
        <f>IF(AND(Activities!$A75&lt;&gt;"",IF(Activities!$E75&lt;&gt;"",ISNUMBER(SEARCH(",7,",","&amp;Activities!$E75&amp;",")),AND(Activities!$C75&lt;=7,Activities!$D75&gt;=7))),IF(Activities!$H75="Coaches","🌱 ",IF(Activities!$H75="Coordinators","⚙️ ",IF(Activities!$H75="Both","👥 ","")))&amp;Activities!$B75&amp;CHAR(10)&amp;REPT("●",Activities!$F75),"")</f>
        <v/>
      </c>
      <c r="J74" s="7" t="str">
        <f>IF(AND(Activities!$A75&lt;&gt;"",IF(Activities!$E75&lt;&gt;"",ISNUMBER(SEARCH(",8,",","&amp;Activities!$E75&amp;",")),AND(Activities!$C75&lt;=8,Activities!$D75&gt;=8))),IF(Activities!$H75="Coaches","🌱 ",IF(Activities!$H75="Coordinators","⚙️ ",IF(Activities!$H75="Both","👥 ","")))&amp;Activities!$B75&amp;CHAR(10)&amp;REPT("●",Activities!$F75),"")</f>
        <v/>
      </c>
      <c r="K74" s="7" t="str">
        <f>IF(AND(Activities!$A75&lt;&gt;"",IF(Activities!$E75&lt;&gt;"",ISNUMBER(SEARCH(",9,",","&amp;Activities!$E75&amp;",")),AND(Activities!$C75&lt;=9,Activities!$D75&gt;=9))),IF(Activities!$H75="Coaches","🌱 ",IF(Activities!$H75="Coordinators","⚙️ ",IF(Activities!$H75="Both","👥 ","")))&amp;Activities!$B75&amp;CHAR(10)&amp;REPT("●",Activities!$F75),"")</f>
        <v/>
      </c>
      <c r="L74" s="7" t="str">
        <f>IF(AND(Activities!$A75&lt;&gt;"",IF(Activities!$E75&lt;&gt;"",ISNUMBER(SEARCH(",10,",","&amp;Activities!$E75&amp;",")),AND(Activities!$C75&lt;=10,Activities!$D75&gt;=10))),IF(Activities!$H75="Coaches","🌱 ",IF(Activities!$H75="Coordinators","⚙️ ",IF(Activities!$H75="Both","👥 ","")))&amp;Activities!$B75&amp;CHAR(10)&amp;REPT("●",Activities!$F75),"")</f>
        <v/>
      </c>
      <c r="M74" s="7" t="str">
        <f>IF(AND(Activities!$A75&lt;&gt;"",IF(Activities!$E75&lt;&gt;"",ISNUMBER(SEARCH(",11,",","&amp;Activities!$E75&amp;",")),AND(Activities!$C75&lt;=11,Activities!$D75&gt;=11))),IF(Activities!$H75="Coaches","🌱 ",IF(Activities!$H75="Coordinators","⚙️ ",IF(Activities!$H75="Both","👥 ","")))&amp;Activities!$B75&amp;CHAR(10)&amp;REPT("●",Activities!$F75),"")</f>
        <v/>
      </c>
      <c r="N74" s="7" t="str">
        <f>IF(AND(Activities!$A75&lt;&gt;"",IF(Activities!$E75&lt;&gt;"",ISNUMBER(SEARCH(",12,",","&amp;Activities!$E75&amp;",")),AND(Activities!$C75&lt;=12,Activities!$D75&gt;=12))),IF(Activities!$H75="Coaches","🌱 ",IF(Activities!$H75="Coordinators","⚙️ ",IF(Activities!$H75="Both","👥 ","")))&amp;Activities!$B75&amp;CHAR(10)&amp;REPT("●",Activities!$F75),"")</f>
        <v/>
      </c>
    </row>
    <row r="75" spans="1:14" s="8" customFormat="1" ht="20">
      <c r="A75" s="14" t="str">
        <f>IF(Activities!$A76&lt;&gt;"",Activities!$A76,"")</f>
        <v/>
      </c>
      <c r="B75" s="7" t="str">
        <f>IF(Activities!$B76&lt;&gt;"",Activities!$B76,"")</f>
        <v/>
      </c>
      <c r="C75" s="7" t="str">
        <f>IF(AND(Activities!$A76&lt;&gt;"",IF(Activities!$E76&lt;&gt;"",ISNUMBER(SEARCH(",1,",","&amp;Activities!$E76&amp;",")),AND(Activities!$C76&lt;=1,Activities!$D76&gt;=1))),IF(Activities!$H76="Coaches","🌱 ",IF(Activities!$H76="Coordinators","⚙️ ",IF(Activities!$H76="Both","👥 ","")))&amp;Activities!$B76&amp;CHAR(10)&amp;REPT("●",Activities!$F76),"")</f>
        <v/>
      </c>
      <c r="D75" s="7" t="str">
        <f>IF(AND(Activities!$A76&lt;&gt;"",IF(Activities!$E76&lt;&gt;"",ISNUMBER(SEARCH(",2,",","&amp;Activities!$E76&amp;",")),AND(Activities!$C76&lt;=2,Activities!$D76&gt;=2))),IF(Activities!$H76="Coaches","🌱 ",IF(Activities!$H76="Coordinators","⚙️ ",IF(Activities!$H76="Both","👥 ","")))&amp;Activities!$B76&amp;CHAR(10)&amp;REPT("●",Activities!$F76),"")</f>
        <v/>
      </c>
      <c r="E75" s="7" t="str">
        <f>IF(AND(Activities!$A76&lt;&gt;"",IF(Activities!$E76&lt;&gt;"",ISNUMBER(SEARCH(",3,",","&amp;Activities!$E76&amp;",")),AND(Activities!$C76&lt;=3,Activities!$D76&gt;=3))),IF(Activities!$H76="Coaches","🌱 ",IF(Activities!$H76="Coordinators","⚙️ ",IF(Activities!$H76="Both","👥 ","")))&amp;Activities!$B76&amp;CHAR(10)&amp;REPT("●",Activities!$F76),"")</f>
        <v/>
      </c>
      <c r="F75" s="7" t="str">
        <f>IF(AND(Activities!$A76&lt;&gt;"",IF(Activities!$E76&lt;&gt;"",ISNUMBER(SEARCH(",4,",","&amp;Activities!$E76&amp;",")),AND(Activities!$C76&lt;=4,Activities!$D76&gt;=4))),IF(Activities!$H76="Coaches","🌱 ",IF(Activities!$H76="Coordinators","⚙️ ",IF(Activities!$H76="Both","👥 ","")))&amp;Activities!$B76&amp;CHAR(10)&amp;REPT("●",Activities!$F76),"")</f>
        <v/>
      </c>
      <c r="G75" s="7" t="str">
        <f>IF(AND(Activities!$A76&lt;&gt;"",IF(Activities!$E76&lt;&gt;"",ISNUMBER(SEARCH(",5,",","&amp;Activities!$E76&amp;",")),AND(Activities!$C76&lt;=5,Activities!$D76&gt;=5))),IF(Activities!$H76="Coaches","🌱 ",IF(Activities!$H76="Coordinators","⚙️ ",IF(Activities!$H76="Both","👥 ","")))&amp;Activities!$B76&amp;CHAR(10)&amp;REPT("●",Activities!$F76),"")</f>
        <v/>
      </c>
      <c r="H75" s="7" t="str">
        <f>IF(AND(Activities!$A76&lt;&gt;"",IF(Activities!$E76&lt;&gt;"",ISNUMBER(SEARCH(",6,",","&amp;Activities!$E76&amp;",")),AND(Activities!$C76&lt;=6,Activities!$D76&gt;=6))),IF(Activities!$H76="Coaches","🌱 ",IF(Activities!$H76="Coordinators","⚙️ ",IF(Activities!$H76="Both","👥 ","")))&amp;Activities!$B76&amp;CHAR(10)&amp;REPT("●",Activities!$F76),"")</f>
        <v/>
      </c>
      <c r="I75" s="7" t="str">
        <f>IF(AND(Activities!$A76&lt;&gt;"",IF(Activities!$E76&lt;&gt;"",ISNUMBER(SEARCH(",7,",","&amp;Activities!$E76&amp;",")),AND(Activities!$C76&lt;=7,Activities!$D76&gt;=7))),IF(Activities!$H76="Coaches","🌱 ",IF(Activities!$H76="Coordinators","⚙️ ",IF(Activities!$H76="Both","👥 ","")))&amp;Activities!$B76&amp;CHAR(10)&amp;REPT("●",Activities!$F76),"")</f>
        <v/>
      </c>
      <c r="J75" s="7" t="str">
        <f>IF(AND(Activities!$A76&lt;&gt;"",IF(Activities!$E76&lt;&gt;"",ISNUMBER(SEARCH(",8,",","&amp;Activities!$E76&amp;",")),AND(Activities!$C76&lt;=8,Activities!$D76&gt;=8))),IF(Activities!$H76="Coaches","🌱 ",IF(Activities!$H76="Coordinators","⚙️ ",IF(Activities!$H76="Both","👥 ","")))&amp;Activities!$B76&amp;CHAR(10)&amp;REPT("●",Activities!$F76),"")</f>
        <v/>
      </c>
      <c r="K75" s="7" t="str">
        <f>IF(AND(Activities!$A76&lt;&gt;"",IF(Activities!$E76&lt;&gt;"",ISNUMBER(SEARCH(",9,",","&amp;Activities!$E76&amp;",")),AND(Activities!$C76&lt;=9,Activities!$D76&gt;=9))),IF(Activities!$H76="Coaches","🌱 ",IF(Activities!$H76="Coordinators","⚙️ ",IF(Activities!$H76="Both","👥 ","")))&amp;Activities!$B76&amp;CHAR(10)&amp;REPT("●",Activities!$F76),"")</f>
        <v/>
      </c>
      <c r="L75" s="7" t="str">
        <f>IF(AND(Activities!$A76&lt;&gt;"",IF(Activities!$E76&lt;&gt;"",ISNUMBER(SEARCH(",10,",","&amp;Activities!$E76&amp;",")),AND(Activities!$C76&lt;=10,Activities!$D76&gt;=10))),IF(Activities!$H76="Coaches","🌱 ",IF(Activities!$H76="Coordinators","⚙️ ",IF(Activities!$H76="Both","👥 ","")))&amp;Activities!$B76&amp;CHAR(10)&amp;REPT("●",Activities!$F76),"")</f>
        <v/>
      </c>
      <c r="M75" s="7" t="str">
        <f>IF(AND(Activities!$A76&lt;&gt;"",IF(Activities!$E76&lt;&gt;"",ISNUMBER(SEARCH(",11,",","&amp;Activities!$E76&amp;",")),AND(Activities!$C76&lt;=11,Activities!$D76&gt;=11))),IF(Activities!$H76="Coaches","🌱 ",IF(Activities!$H76="Coordinators","⚙️ ",IF(Activities!$H76="Both","👥 ","")))&amp;Activities!$B76&amp;CHAR(10)&amp;REPT("●",Activities!$F76),"")</f>
        <v/>
      </c>
      <c r="N75" s="7" t="str">
        <f>IF(AND(Activities!$A76&lt;&gt;"",IF(Activities!$E76&lt;&gt;"",ISNUMBER(SEARCH(",12,",","&amp;Activities!$E76&amp;",")),AND(Activities!$C76&lt;=12,Activities!$D76&gt;=12))),IF(Activities!$H76="Coaches","🌱 ",IF(Activities!$H76="Coordinators","⚙️ ",IF(Activities!$H76="Both","👥 ","")))&amp;Activities!$B76&amp;CHAR(10)&amp;REPT("●",Activities!$F76),"")</f>
        <v/>
      </c>
    </row>
    <row r="76" spans="1:14" s="8" customFormat="1" ht="20">
      <c r="A76" s="14" t="str">
        <f>IF(Activities!$A77&lt;&gt;"",Activities!$A77,"")</f>
        <v/>
      </c>
      <c r="B76" s="7" t="str">
        <f>IF(Activities!$B77&lt;&gt;"",Activities!$B77,"")</f>
        <v/>
      </c>
      <c r="C76" s="7" t="str">
        <f>IF(AND(Activities!$A77&lt;&gt;"",IF(Activities!$E77&lt;&gt;"",ISNUMBER(SEARCH(",1,",","&amp;Activities!$E77&amp;",")),AND(Activities!$C77&lt;=1,Activities!$D77&gt;=1))),IF(Activities!$H77="Coaches","🌱 ",IF(Activities!$H77="Coordinators","⚙️ ",IF(Activities!$H77="Both","👥 ","")))&amp;Activities!$B77&amp;CHAR(10)&amp;REPT("●",Activities!$F77),"")</f>
        <v/>
      </c>
      <c r="D76" s="7" t="str">
        <f>IF(AND(Activities!$A77&lt;&gt;"",IF(Activities!$E77&lt;&gt;"",ISNUMBER(SEARCH(",2,",","&amp;Activities!$E77&amp;",")),AND(Activities!$C77&lt;=2,Activities!$D77&gt;=2))),IF(Activities!$H77="Coaches","🌱 ",IF(Activities!$H77="Coordinators","⚙️ ",IF(Activities!$H77="Both","👥 ","")))&amp;Activities!$B77&amp;CHAR(10)&amp;REPT("●",Activities!$F77),"")</f>
        <v/>
      </c>
      <c r="E76" s="7" t="str">
        <f>IF(AND(Activities!$A77&lt;&gt;"",IF(Activities!$E77&lt;&gt;"",ISNUMBER(SEARCH(",3,",","&amp;Activities!$E77&amp;",")),AND(Activities!$C77&lt;=3,Activities!$D77&gt;=3))),IF(Activities!$H77="Coaches","🌱 ",IF(Activities!$H77="Coordinators","⚙️ ",IF(Activities!$H77="Both","👥 ","")))&amp;Activities!$B77&amp;CHAR(10)&amp;REPT("●",Activities!$F77),"")</f>
        <v/>
      </c>
      <c r="F76" s="7" t="str">
        <f>IF(AND(Activities!$A77&lt;&gt;"",IF(Activities!$E77&lt;&gt;"",ISNUMBER(SEARCH(",4,",","&amp;Activities!$E77&amp;",")),AND(Activities!$C77&lt;=4,Activities!$D77&gt;=4))),IF(Activities!$H77="Coaches","🌱 ",IF(Activities!$H77="Coordinators","⚙️ ",IF(Activities!$H77="Both","👥 ","")))&amp;Activities!$B77&amp;CHAR(10)&amp;REPT("●",Activities!$F77),"")</f>
        <v/>
      </c>
      <c r="G76" s="7" t="str">
        <f>IF(AND(Activities!$A77&lt;&gt;"",IF(Activities!$E77&lt;&gt;"",ISNUMBER(SEARCH(",5,",","&amp;Activities!$E77&amp;",")),AND(Activities!$C77&lt;=5,Activities!$D77&gt;=5))),IF(Activities!$H77="Coaches","🌱 ",IF(Activities!$H77="Coordinators","⚙️ ",IF(Activities!$H77="Both","👥 ","")))&amp;Activities!$B77&amp;CHAR(10)&amp;REPT("●",Activities!$F77),"")</f>
        <v/>
      </c>
      <c r="H76" s="7" t="str">
        <f>IF(AND(Activities!$A77&lt;&gt;"",IF(Activities!$E77&lt;&gt;"",ISNUMBER(SEARCH(",6,",","&amp;Activities!$E77&amp;",")),AND(Activities!$C77&lt;=6,Activities!$D77&gt;=6))),IF(Activities!$H77="Coaches","🌱 ",IF(Activities!$H77="Coordinators","⚙️ ",IF(Activities!$H77="Both","👥 ","")))&amp;Activities!$B77&amp;CHAR(10)&amp;REPT("●",Activities!$F77),"")</f>
        <v/>
      </c>
      <c r="I76" s="7" t="str">
        <f>IF(AND(Activities!$A77&lt;&gt;"",IF(Activities!$E77&lt;&gt;"",ISNUMBER(SEARCH(",7,",","&amp;Activities!$E77&amp;",")),AND(Activities!$C77&lt;=7,Activities!$D77&gt;=7))),IF(Activities!$H77="Coaches","🌱 ",IF(Activities!$H77="Coordinators","⚙️ ",IF(Activities!$H77="Both","👥 ","")))&amp;Activities!$B77&amp;CHAR(10)&amp;REPT("●",Activities!$F77),"")</f>
        <v/>
      </c>
      <c r="J76" s="7" t="str">
        <f>IF(AND(Activities!$A77&lt;&gt;"",IF(Activities!$E77&lt;&gt;"",ISNUMBER(SEARCH(",8,",","&amp;Activities!$E77&amp;",")),AND(Activities!$C77&lt;=8,Activities!$D77&gt;=8))),IF(Activities!$H77="Coaches","🌱 ",IF(Activities!$H77="Coordinators","⚙️ ",IF(Activities!$H77="Both","👥 ","")))&amp;Activities!$B77&amp;CHAR(10)&amp;REPT("●",Activities!$F77),"")</f>
        <v/>
      </c>
      <c r="K76" s="7" t="str">
        <f>IF(AND(Activities!$A77&lt;&gt;"",IF(Activities!$E77&lt;&gt;"",ISNUMBER(SEARCH(",9,",","&amp;Activities!$E77&amp;",")),AND(Activities!$C77&lt;=9,Activities!$D77&gt;=9))),IF(Activities!$H77="Coaches","🌱 ",IF(Activities!$H77="Coordinators","⚙️ ",IF(Activities!$H77="Both","👥 ","")))&amp;Activities!$B77&amp;CHAR(10)&amp;REPT("●",Activities!$F77),"")</f>
        <v/>
      </c>
      <c r="L76" s="7" t="str">
        <f>IF(AND(Activities!$A77&lt;&gt;"",IF(Activities!$E77&lt;&gt;"",ISNUMBER(SEARCH(",10,",","&amp;Activities!$E77&amp;",")),AND(Activities!$C77&lt;=10,Activities!$D77&gt;=10))),IF(Activities!$H77="Coaches","🌱 ",IF(Activities!$H77="Coordinators","⚙️ ",IF(Activities!$H77="Both","👥 ","")))&amp;Activities!$B77&amp;CHAR(10)&amp;REPT("●",Activities!$F77),"")</f>
        <v/>
      </c>
      <c r="M76" s="7" t="str">
        <f>IF(AND(Activities!$A77&lt;&gt;"",IF(Activities!$E77&lt;&gt;"",ISNUMBER(SEARCH(",11,",","&amp;Activities!$E77&amp;",")),AND(Activities!$C77&lt;=11,Activities!$D77&gt;=11))),IF(Activities!$H77="Coaches","🌱 ",IF(Activities!$H77="Coordinators","⚙️ ",IF(Activities!$H77="Both","👥 ","")))&amp;Activities!$B77&amp;CHAR(10)&amp;REPT("●",Activities!$F77),"")</f>
        <v/>
      </c>
      <c r="N76" s="7" t="str">
        <f>IF(AND(Activities!$A77&lt;&gt;"",IF(Activities!$E77&lt;&gt;"",ISNUMBER(SEARCH(",12,",","&amp;Activities!$E77&amp;",")),AND(Activities!$C77&lt;=12,Activities!$D77&gt;=12))),IF(Activities!$H77="Coaches","🌱 ",IF(Activities!$H77="Coordinators","⚙️ ",IF(Activities!$H77="Both","👥 ","")))&amp;Activities!$B77&amp;CHAR(10)&amp;REPT("●",Activities!$F77),"")</f>
        <v/>
      </c>
    </row>
    <row r="77" spans="1:14" s="8" customFormat="1" ht="20">
      <c r="A77" s="14" t="str">
        <f>IF(Activities!$A78&lt;&gt;"",Activities!$A78,"")</f>
        <v/>
      </c>
      <c r="B77" s="7" t="str">
        <f>IF(Activities!$B78&lt;&gt;"",Activities!$B78,"")</f>
        <v/>
      </c>
      <c r="C77" s="7" t="str">
        <f>IF(AND(Activities!$A78&lt;&gt;"",IF(Activities!$E78&lt;&gt;"",ISNUMBER(SEARCH(",1,",","&amp;Activities!$E78&amp;",")),AND(Activities!$C78&lt;=1,Activities!$D78&gt;=1))),IF(Activities!$H78="Coaches","🌱 ",IF(Activities!$H78="Coordinators","⚙️ ",IF(Activities!$H78="Both","👥 ","")))&amp;Activities!$B78&amp;CHAR(10)&amp;REPT("●",Activities!$F78),"")</f>
        <v/>
      </c>
      <c r="D77" s="7" t="str">
        <f>IF(AND(Activities!$A78&lt;&gt;"",IF(Activities!$E78&lt;&gt;"",ISNUMBER(SEARCH(",2,",","&amp;Activities!$E78&amp;",")),AND(Activities!$C78&lt;=2,Activities!$D78&gt;=2))),IF(Activities!$H78="Coaches","🌱 ",IF(Activities!$H78="Coordinators","⚙️ ",IF(Activities!$H78="Both","👥 ","")))&amp;Activities!$B78&amp;CHAR(10)&amp;REPT("●",Activities!$F78),"")</f>
        <v/>
      </c>
      <c r="E77" s="7" t="str">
        <f>IF(AND(Activities!$A78&lt;&gt;"",IF(Activities!$E78&lt;&gt;"",ISNUMBER(SEARCH(",3,",","&amp;Activities!$E78&amp;",")),AND(Activities!$C78&lt;=3,Activities!$D78&gt;=3))),IF(Activities!$H78="Coaches","🌱 ",IF(Activities!$H78="Coordinators","⚙️ ",IF(Activities!$H78="Both","👥 ","")))&amp;Activities!$B78&amp;CHAR(10)&amp;REPT("●",Activities!$F78),"")</f>
        <v/>
      </c>
      <c r="F77" s="7" t="str">
        <f>IF(AND(Activities!$A78&lt;&gt;"",IF(Activities!$E78&lt;&gt;"",ISNUMBER(SEARCH(",4,",","&amp;Activities!$E78&amp;",")),AND(Activities!$C78&lt;=4,Activities!$D78&gt;=4))),IF(Activities!$H78="Coaches","🌱 ",IF(Activities!$H78="Coordinators","⚙️ ",IF(Activities!$H78="Both","👥 ","")))&amp;Activities!$B78&amp;CHAR(10)&amp;REPT("●",Activities!$F78),"")</f>
        <v/>
      </c>
      <c r="G77" s="7" t="str">
        <f>IF(AND(Activities!$A78&lt;&gt;"",IF(Activities!$E78&lt;&gt;"",ISNUMBER(SEARCH(",5,",","&amp;Activities!$E78&amp;",")),AND(Activities!$C78&lt;=5,Activities!$D78&gt;=5))),IF(Activities!$H78="Coaches","🌱 ",IF(Activities!$H78="Coordinators","⚙️ ",IF(Activities!$H78="Both","👥 ","")))&amp;Activities!$B78&amp;CHAR(10)&amp;REPT("●",Activities!$F78),"")</f>
        <v/>
      </c>
      <c r="H77" s="7" t="str">
        <f>IF(AND(Activities!$A78&lt;&gt;"",IF(Activities!$E78&lt;&gt;"",ISNUMBER(SEARCH(",6,",","&amp;Activities!$E78&amp;",")),AND(Activities!$C78&lt;=6,Activities!$D78&gt;=6))),IF(Activities!$H78="Coaches","🌱 ",IF(Activities!$H78="Coordinators","⚙️ ",IF(Activities!$H78="Both","👥 ","")))&amp;Activities!$B78&amp;CHAR(10)&amp;REPT("●",Activities!$F78),"")</f>
        <v/>
      </c>
      <c r="I77" s="7" t="str">
        <f>IF(AND(Activities!$A78&lt;&gt;"",IF(Activities!$E78&lt;&gt;"",ISNUMBER(SEARCH(",7,",","&amp;Activities!$E78&amp;",")),AND(Activities!$C78&lt;=7,Activities!$D78&gt;=7))),IF(Activities!$H78="Coaches","🌱 ",IF(Activities!$H78="Coordinators","⚙️ ",IF(Activities!$H78="Both","👥 ","")))&amp;Activities!$B78&amp;CHAR(10)&amp;REPT("●",Activities!$F78),"")</f>
        <v/>
      </c>
      <c r="J77" s="7" t="str">
        <f>IF(AND(Activities!$A78&lt;&gt;"",IF(Activities!$E78&lt;&gt;"",ISNUMBER(SEARCH(",8,",","&amp;Activities!$E78&amp;",")),AND(Activities!$C78&lt;=8,Activities!$D78&gt;=8))),IF(Activities!$H78="Coaches","🌱 ",IF(Activities!$H78="Coordinators","⚙️ ",IF(Activities!$H78="Both","👥 ","")))&amp;Activities!$B78&amp;CHAR(10)&amp;REPT("●",Activities!$F78),"")</f>
        <v/>
      </c>
      <c r="K77" s="7" t="str">
        <f>IF(AND(Activities!$A78&lt;&gt;"",IF(Activities!$E78&lt;&gt;"",ISNUMBER(SEARCH(",9,",","&amp;Activities!$E78&amp;",")),AND(Activities!$C78&lt;=9,Activities!$D78&gt;=9))),IF(Activities!$H78="Coaches","🌱 ",IF(Activities!$H78="Coordinators","⚙️ ",IF(Activities!$H78="Both","👥 ","")))&amp;Activities!$B78&amp;CHAR(10)&amp;REPT("●",Activities!$F78),"")</f>
        <v/>
      </c>
      <c r="L77" s="7" t="str">
        <f>IF(AND(Activities!$A78&lt;&gt;"",IF(Activities!$E78&lt;&gt;"",ISNUMBER(SEARCH(",10,",","&amp;Activities!$E78&amp;",")),AND(Activities!$C78&lt;=10,Activities!$D78&gt;=10))),IF(Activities!$H78="Coaches","🌱 ",IF(Activities!$H78="Coordinators","⚙️ ",IF(Activities!$H78="Both","👥 ","")))&amp;Activities!$B78&amp;CHAR(10)&amp;REPT("●",Activities!$F78),"")</f>
        <v/>
      </c>
      <c r="M77" s="7" t="str">
        <f>IF(AND(Activities!$A78&lt;&gt;"",IF(Activities!$E78&lt;&gt;"",ISNUMBER(SEARCH(",11,",","&amp;Activities!$E78&amp;",")),AND(Activities!$C78&lt;=11,Activities!$D78&gt;=11))),IF(Activities!$H78="Coaches","🌱 ",IF(Activities!$H78="Coordinators","⚙️ ",IF(Activities!$H78="Both","👥 ","")))&amp;Activities!$B78&amp;CHAR(10)&amp;REPT("●",Activities!$F78),"")</f>
        <v/>
      </c>
      <c r="N77" s="7" t="str">
        <f>IF(AND(Activities!$A78&lt;&gt;"",IF(Activities!$E78&lt;&gt;"",ISNUMBER(SEARCH(",12,",","&amp;Activities!$E78&amp;",")),AND(Activities!$C78&lt;=12,Activities!$D78&gt;=12))),IF(Activities!$H78="Coaches","🌱 ",IF(Activities!$H78="Coordinators","⚙️ ",IF(Activities!$H78="Both","👥 ","")))&amp;Activities!$B78&amp;CHAR(10)&amp;REPT("●",Activities!$F78),"")</f>
        <v/>
      </c>
    </row>
    <row r="78" spans="1:14" s="8" customFormat="1" ht="20">
      <c r="A78" s="14" t="str">
        <f>IF(Activities!$A79&lt;&gt;"",Activities!$A79,"")</f>
        <v/>
      </c>
      <c r="B78" s="7" t="str">
        <f>IF(Activities!$B79&lt;&gt;"",Activities!$B79,"")</f>
        <v/>
      </c>
      <c r="C78" s="7" t="str">
        <f>IF(AND(Activities!$A79&lt;&gt;"",IF(Activities!$E79&lt;&gt;"",ISNUMBER(SEARCH(",1,",","&amp;Activities!$E79&amp;",")),AND(Activities!$C79&lt;=1,Activities!$D79&gt;=1))),IF(Activities!$H79="Coaches","🌱 ",IF(Activities!$H79="Coordinators","⚙️ ",IF(Activities!$H79="Both","👥 ","")))&amp;Activities!$B79&amp;CHAR(10)&amp;REPT("●",Activities!$F79),"")</f>
        <v/>
      </c>
      <c r="D78" s="7" t="str">
        <f>IF(AND(Activities!$A79&lt;&gt;"",IF(Activities!$E79&lt;&gt;"",ISNUMBER(SEARCH(",2,",","&amp;Activities!$E79&amp;",")),AND(Activities!$C79&lt;=2,Activities!$D79&gt;=2))),IF(Activities!$H79="Coaches","🌱 ",IF(Activities!$H79="Coordinators","⚙️ ",IF(Activities!$H79="Both","👥 ","")))&amp;Activities!$B79&amp;CHAR(10)&amp;REPT("●",Activities!$F79),"")</f>
        <v/>
      </c>
      <c r="E78" s="7" t="str">
        <f>IF(AND(Activities!$A79&lt;&gt;"",IF(Activities!$E79&lt;&gt;"",ISNUMBER(SEARCH(",3,",","&amp;Activities!$E79&amp;",")),AND(Activities!$C79&lt;=3,Activities!$D79&gt;=3))),IF(Activities!$H79="Coaches","🌱 ",IF(Activities!$H79="Coordinators","⚙️ ",IF(Activities!$H79="Both","👥 ","")))&amp;Activities!$B79&amp;CHAR(10)&amp;REPT("●",Activities!$F79),"")</f>
        <v/>
      </c>
      <c r="F78" s="7" t="str">
        <f>IF(AND(Activities!$A79&lt;&gt;"",IF(Activities!$E79&lt;&gt;"",ISNUMBER(SEARCH(",4,",","&amp;Activities!$E79&amp;",")),AND(Activities!$C79&lt;=4,Activities!$D79&gt;=4))),IF(Activities!$H79="Coaches","🌱 ",IF(Activities!$H79="Coordinators","⚙️ ",IF(Activities!$H79="Both","👥 ","")))&amp;Activities!$B79&amp;CHAR(10)&amp;REPT("●",Activities!$F79),"")</f>
        <v/>
      </c>
      <c r="G78" s="7" t="str">
        <f>IF(AND(Activities!$A79&lt;&gt;"",IF(Activities!$E79&lt;&gt;"",ISNUMBER(SEARCH(",5,",","&amp;Activities!$E79&amp;",")),AND(Activities!$C79&lt;=5,Activities!$D79&gt;=5))),IF(Activities!$H79="Coaches","🌱 ",IF(Activities!$H79="Coordinators","⚙️ ",IF(Activities!$H79="Both","👥 ","")))&amp;Activities!$B79&amp;CHAR(10)&amp;REPT("●",Activities!$F79),"")</f>
        <v/>
      </c>
      <c r="H78" s="7" t="str">
        <f>IF(AND(Activities!$A79&lt;&gt;"",IF(Activities!$E79&lt;&gt;"",ISNUMBER(SEARCH(",6,",","&amp;Activities!$E79&amp;",")),AND(Activities!$C79&lt;=6,Activities!$D79&gt;=6))),IF(Activities!$H79="Coaches","🌱 ",IF(Activities!$H79="Coordinators","⚙️ ",IF(Activities!$H79="Both","👥 ","")))&amp;Activities!$B79&amp;CHAR(10)&amp;REPT("●",Activities!$F79),"")</f>
        <v/>
      </c>
      <c r="I78" s="7" t="str">
        <f>IF(AND(Activities!$A79&lt;&gt;"",IF(Activities!$E79&lt;&gt;"",ISNUMBER(SEARCH(",7,",","&amp;Activities!$E79&amp;",")),AND(Activities!$C79&lt;=7,Activities!$D79&gt;=7))),IF(Activities!$H79="Coaches","🌱 ",IF(Activities!$H79="Coordinators","⚙️ ",IF(Activities!$H79="Both","👥 ","")))&amp;Activities!$B79&amp;CHAR(10)&amp;REPT("●",Activities!$F79),"")</f>
        <v/>
      </c>
      <c r="J78" s="7" t="str">
        <f>IF(AND(Activities!$A79&lt;&gt;"",IF(Activities!$E79&lt;&gt;"",ISNUMBER(SEARCH(",8,",","&amp;Activities!$E79&amp;",")),AND(Activities!$C79&lt;=8,Activities!$D79&gt;=8))),IF(Activities!$H79="Coaches","🌱 ",IF(Activities!$H79="Coordinators","⚙️ ",IF(Activities!$H79="Both","👥 ","")))&amp;Activities!$B79&amp;CHAR(10)&amp;REPT("●",Activities!$F79),"")</f>
        <v/>
      </c>
      <c r="K78" s="7" t="str">
        <f>IF(AND(Activities!$A79&lt;&gt;"",IF(Activities!$E79&lt;&gt;"",ISNUMBER(SEARCH(",9,",","&amp;Activities!$E79&amp;",")),AND(Activities!$C79&lt;=9,Activities!$D79&gt;=9))),IF(Activities!$H79="Coaches","🌱 ",IF(Activities!$H79="Coordinators","⚙️ ",IF(Activities!$H79="Both","👥 ","")))&amp;Activities!$B79&amp;CHAR(10)&amp;REPT("●",Activities!$F79),"")</f>
        <v/>
      </c>
      <c r="L78" s="7" t="str">
        <f>IF(AND(Activities!$A79&lt;&gt;"",IF(Activities!$E79&lt;&gt;"",ISNUMBER(SEARCH(",10,",","&amp;Activities!$E79&amp;",")),AND(Activities!$C79&lt;=10,Activities!$D79&gt;=10))),IF(Activities!$H79="Coaches","🌱 ",IF(Activities!$H79="Coordinators","⚙️ ",IF(Activities!$H79="Both","👥 ","")))&amp;Activities!$B79&amp;CHAR(10)&amp;REPT("●",Activities!$F79),"")</f>
        <v/>
      </c>
      <c r="M78" s="7" t="str">
        <f>IF(AND(Activities!$A79&lt;&gt;"",IF(Activities!$E79&lt;&gt;"",ISNUMBER(SEARCH(",11,",","&amp;Activities!$E79&amp;",")),AND(Activities!$C79&lt;=11,Activities!$D79&gt;=11))),IF(Activities!$H79="Coaches","🌱 ",IF(Activities!$H79="Coordinators","⚙️ ",IF(Activities!$H79="Both","👥 ","")))&amp;Activities!$B79&amp;CHAR(10)&amp;REPT("●",Activities!$F79),"")</f>
        <v/>
      </c>
      <c r="N78" s="7" t="str">
        <f>IF(AND(Activities!$A79&lt;&gt;"",IF(Activities!$E79&lt;&gt;"",ISNUMBER(SEARCH(",12,",","&amp;Activities!$E79&amp;",")),AND(Activities!$C79&lt;=12,Activities!$D79&gt;=12))),IF(Activities!$H79="Coaches","🌱 ",IF(Activities!$H79="Coordinators","⚙️ ",IF(Activities!$H79="Both","👥 ","")))&amp;Activities!$B79&amp;CHAR(10)&amp;REPT("●",Activities!$F79),"")</f>
        <v/>
      </c>
    </row>
    <row r="79" spans="1:14" s="8" customFormat="1" ht="20">
      <c r="A79" s="14" t="str">
        <f>IF(Activities!$A80&lt;&gt;"",Activities!$A80,"")</f>
        <v/>
      </c>
      <c r="B79" s="7" t="str">
        <f>IF(Activities!$B80&lt;&gt;"",Activities!$B80,"")</f>
        <v/>
      </c>
      <c r="C79" s="7" t="str">
        <f>IF(AND(Activities!$A80&lt;&gt;"",IF(Activities!$E80&lt;&gt;"",ISNUMBER(SEARCH(",1,",","&amp;Activities!$E80&amp;",")),AND(Activities!$C80&lt;=1,Activities!$D80&gt;=1))),IF(Activities!$H80="Coaches","🌱 ",IF(Activities!$H80="Coordinators","⚙️ ",IF(Activities!$H80="Both","👥 ","")))&amp;Activities!$B80&amp;CHAR(10)&amp;REPT("●",Activities!$F80),"")</f>
        <v/>
      </c>
      <c r="D79" s="7" t="str">
        <f>IF(AND(Activities!$A80&lt;&gt;"",IF(Activities!$E80&lt;&gt;"",ISNUMBER(SEARCH(",2,",","&amp;Activities!$E80&amp;",")),AND(Activities!$C80&lt;=2,Activities!$D80&gt;=2))),IF(Activities!$H80="Coaches","🌱 ",IF(Activities!$H80="Coordinators","⚙️ ",IF(Activities!$H80="Both","👥 ","")))&amp;Activities!$B80&amp;CHAR(10)&amp;REPT("●",Activities!$F80),"")</f>
        <v/>
      </c>
      <c r="E79" s="7" t="str">
        <f>IF(AND(Activities!$A80&lt;&gt;"",IF(Activities!$E80&lt;&gt;"",ISNUMBER(SEARCH(",3,",","&amp;Activities!$E80&amp;",")),AND(Activities!$C80&lt;=3,Activities!$D80&gt;=3))),IF(Activities!$H80="Coaches","🌱 ",IF(Activities!$H80="Coordinators","⚙️ ",IF(Activities!$H80="Both","👥 ","")))&amp;Activities!$B80&amp;CHAR(10)&amp;REPT("●",Activities!$F80),"")</f>
        <v/>
      </c>
      <c r="F79" s="7" t="str">
        <f>IF(AND(Activities!$A80&lt;&gt;"",IF(Activities!$E80&lt;&gt;"",ISNUMBER(SEARCH(",4,",","&amp;Activities!$E80&amp;",")),AND(Activities!$C80&lt;=4,Activities!$D80&gt;=4))),IF(Activities!$H80="Coaches","🌱 ",IF(Activities!$H80="Coordinators","⚙️ ",IF(Activities!$H80="Both","👥 ","")))&amp;Activities!$B80&amp;CHAR(10)&amp;REPT("●",Activities!$F80),"")</f>
        <v/>
      </c>
      <c r="G79" s="7" t="str">
        <f>IF(AND(Activities!$A80&lt;&gt;"",IF(Activities!$E80&lt;&gt;"",ISNUMBER(SEARCH(",5,",","&amp;Activities!$E80&amp;",")),AND(Activities!$C80&lt;=5,Activities!$D80&gt;=5))),IF(Activities!$H80="Coaches","🌱 ",IF(Activities!$H80="Coordinators","⚙️ ",IF(Activities!$H80="Both","👥 ","")))&amp;Activities!$B80&amp;CHAR(10)&amp;REPT("●",Activities!$F80),"")</f>
        <v/>
      </c>
      <c r="H79" s="7" t="str">
        <f>IF(AND(Activities!$A80&lt;&gt;"",IF(Activities!$E80&lt;&gt;"",ISNUMBER(SEARCH(",6,",","&amp;Activities!$E80&amp;",")),AND(Activities!$C80&lt;=6,Activities!$D80&gt;=6))),IF(Activities!$H80="Coaches","🌱 ",IF(Activities!$H80="Coordinators","⚙️ ",IF(Activities!$H80="Both","👥 ","")))&amp;Activities!$B80&amp;CHAR(10)&amp;REPT("●",Activities!$F80),"")</f>
        <v/>
      </c>
      <c r="I79" s="7" t="str">
        <f>IF(AND(Activities!$A80&lt;&gt;"",IF(Activities!$E80&lt;&gt;"",ISNUMBER(SEARCH(",7,",","&amp;Activities!$E80&amp;",")),AND(Activities!$C80&lt;=7,Activities!$D80&gt;=7))),IF(Activities!$H80="Coaches","🌱 ",IF(Activities!$H80="Coordinators","⚙️ ",IF(Activities!$H80="Both","👥 ","")))&amp;Activities!$B80&amp;CHAR(10)&amp;REPT("●",Activities!$F80),"")</f>
        <v/>
      </c>
      <c r="J79" s="7" t="str">
        <f>IF(AND(Activities!$A80&lt;&gt;"",IF(Activities!$E80&lt;&gt;"",ISNUMBER(SEARCH(",8,",","&amp;Activities!$E80&amp;",")),AND(Activities!$C80&lt;=8,Activities!$D80&gt;=8))),IF(Activities!$H80="Coaches","🌱 ",IF(Activities!$H80="Coordinators","⚙️ ",IF(Activities!$H80="Both","👥 ","")))&amp;Activities!$B80&amp;CHAR(10)&amp;REPT("●",Activities!$F80),"")</f>
        <v/>
      </c>
      <c r="K79" s="7" t="str">
        <f>IF(AND(Activities!$A80&lt;&gt;"",IF(Activities!$E80&lt;&gt;"",ISNUMBER(SEARCH(",9,",","&amp;Activities!$E80&amp;",")),AND(Activities!$C80&lt;=9,Activities!$D80&gt;=9))),IF(Activities!$H80="Coaches","🌱 ",IF(Activities!$H80="Coordinators","⚙️ ",IF(Activities!$H80="Both","👥 ","")))&amp;Activities!$B80&amp;CHAR(10)&amp;REPT("●",Activities!$F80),"")</f>
        <v/>
      </c>
      <c r="L79" s="7" t="str">
        <f>IF(AND(Activities!$A80&lt;&gt;"",IF(Activities!$E80&lt;&gt;"",ISNUMBER(SEARCH(",10,",","&amp;Activities!$E80&amp;",")),AND(Activities!$C80&lt;=10,Activities!$D80&gt;=10))),IF(Activities!$H80="Coaches","🌱 ",IF(Activities!$H80="Coordinators","⚙️ ",IF(Activities!$H80="Both","👥 ","")))&amp;Activities!$B80&amp;CHAR(10)&amp;REPT("●",Activities!$F80),"")</f>
        <v/>
      </c>
      <c r="M79" s="7" t="str">
        <f>IF(AND(Activities!$A80&lt;&gt;"",IF(Activities!$E80&lt;&gt;"",ISNUMBER(SEARCH(",11,",","&amp;Activities!$E80&amp;",")),AND(Activities!$C80&lt;=11,Activities!$D80&gt;=11))),IF(Activities!$H80="Coaches","🌱 ",IF(Activities!$H80="Coordinators","⚙️ ",IF(Activities!$H80="Both","👥 ","")))&amp;Activities!$B80&amp;CHAR(10)&amp;REPT("●",Activities!$F80),"")</f>
        <v/>
      </c>
      <c r="N79" s="7" t="str">
        <f>IF(AND(Activities!$A80&lt;&gt;"",IF(Activities!$E80&lt;&gt;"",ISNUMBER(SEARCH(",12,",","&amp;Activities!$E80&amp;",")),AND(Activities!$C80&lt;=12,Activities!$D80&gt;=12))),IF(Activities!$H80="Coaches","🌱 ",IF(Activities!$H80="Coordinators","⚙️ ",IF(Activities!$H80="Both","👥 ","")))&amp;Activities!$B80&amp;CHAR(10)&amp;REPT("●",Activities!$F80),"")</f>
        <v/>
      </c>
    </row>
    <row r="80" spans="1:14" s="8" customFormat="1" ht="20">
      <c r="A80" s="14" t="str">
        <f>IF(Activities!$A81&lt;&gt;"",Activities!$A81,"")</f>
        <v/>
      </c>
      <c r="B80" s="7" t="str">
        <f>IF(Activities!$B81&lt;&gt;"",Activities!$B81,"")</f>
        <v/>
      </c>
      <c r="C80" s="7" t="str">
        <f>IF(AND(Activities!$A81&lt;&gt;"",IF(Activities!$E81&lt;&gt;"",ISNUMBER(SEARCH(",1,",","&amp;Activities!$E81&amp;",")),AND(Activities!$C81&lt;=1,Activities!$D81&gt;=1))),IF(Activities!$H81="Coaches","🌱 ",IF(Activities!$H81="Coordinators","⚙️ ",IF(Activities!$H81="Both","👥 ","")))&amp;Activities!$B81&amp;CHAR(10)&amp;REPT("●",Activities!$F81),"")</f>
        <v/>
      </c>
      <c r="D80" s="7" t="str">
        <f>IF(AND(Activities!$A81&lt;&gt;"",IF(Activities!$E81&lt;&gt;"",ISNUMBER(SEARCH(",2,",","&amp;Activities!$E81&amp;",")),AND(Activities!$C81&lt;=2,Activities!$D81&gt;=2))),IF(Activities!$H81="Coaches","🌱 ",IF(Activities!$H81="Coordinators","⚙️ ",IF(Activities!$H81="Both","👥 ","")))&amp;Activities!$B81&amp;CHAR(10)&amp;REPT("●",Activities!$F81),"")</f>
        <v/>
      </c>
      <c r="E80" s="7" t="str">
        <f>IF(AND(Activities!$A81&lt;&gt;"",IF(Activities!$E81&lt;&gt;"",ISNUMBER(SEARCH(",3,",","&amp;Activities!$E81&amp;",")),AND(Activities!$C81&lt;=3,Activities!$D81&gt;=3))),IF(Activities!$H81="Coaches","🌱 ",IF(Activities!$H81="Coordinators","⚙️ ",IF(Activities!$H81="Both","👥 ","")))&amp;Activities!$B81&amp;CHAR(10)&amp;REPT("●",Activities!$F81),"")</f>
        <v/>
      </c>
      <c r="F80" s="7" t="str">
        <f>IF(AND(Activities!$A81&lt;&gt;"",IF(Activities!$E81&lt;&gt;"",ISNUMBER(SEARCH(",4,",","&amp;Activities!$E81&amp;",")),AND(Activities!$C81&lt;=4,Activities!$D81&gt;=4))),IF(Activities!$H81="Coaches","🌱 ",IF(Activities!$H81="Coordinators","⚙️ ",IF(Activities!$H81="Both","👥 ","")))&amp;Activities!$B81&amp;CHAR(10)&amp;REPT("●",Activities!$F81),"")</f>
        <v/>
      </c>
      <c r="G80" s="7" t="str">
        <f>IF(AND(Activities!$A81&lt;&gt;"",IF(Activities!$E81&lt;&gt;"",ISNUMBER(SEARCH(",5,",","&amp;Activities!$E81&amp;",")),AND(Activities!$C81&lt;=5,Activities!$D81&gt;=5))),IF(Activities!$H81="Coaches","🌱 ",IF(Activities!$H81="Coordinators","⚙️ ",IF(Activities!$H81="Both","👥 ","")))&amp;Activities!$B81&amp;CHAR(10)&amp;REPT("●",Activities!$F81),"")</f>
        <v/>
      </c>
      <c r="H80" s="7" t="str">
        <f>IF(AND(Activities!$A81&lt;&gt;"",IF(Activities!$E81&lt;&gt;"",ISNUMBER(SEARCH(",6,",","&amp;Activities!$E81&amp;",")),AND(Activities!$C81&lt;=6,Activities!$D81&gt;=6))),IF(Activities!$H81="Coaches","🌱 ",IF(Activities!$H81="Coordinators","⚙️ ",IF(Activities!$H81="Both","👥 ","")))&amp;Activities!$B81&amp;CHAR(10)&amp;REPT("●",Activities!$F81),"")</f>
        <v/>
      </c>
      <c r="I80" s="7" t="str">
        <f>IF(AND(Activities!$A81&lt;&gt;"",IF(Activities!$E81&lt;&gt;"",ISNUMBER(SEARCH(",7,",","&amp;Activities!$E81&amp;",")),AND(Activities!$C81&lt;=7,Activities!$D81&gt;=7))),IF(Activities!$H81="Coaches","🌱 ",IF(Activities!$H81="Coordinators","⚙️ ",IF(Activities!$H81="Both","👥 ","")))&amp;Activities!$B81&amp;CHAR(10)&amp;REPT("●",Activities!$F81),"")</f>
        <v/>
      </c>
      <c r="J80" s="7" t="str">
        <f>IF(AND(Activities!$A81&lt;&gt;"",IF(Activities!$E81&lt;&gt;"",ISNUMBER(SEARCH(",8,",","&amp;Activities!$E81&amp;",")),AND(Activities!$C81&lt;=8,Activities!$D81&gt;=8))),IF(Activities!$H81="Coaches","🌱 ",IF(Activities!$H81="Coordinators","⚙️ ",IF(Activities!$H81="Both","👥 ","")))&amp;Activities!$B81&amp;CHAR(10)&amp;REPT("●",Activities!$F81),"")</f>
        <v/>
      </c>
      <c r="K80" s="7" t="str">
        <f>IF(AND(Activities!$A81&lt;&gt;"",IF(Activities!$E81&lt;&gt;"",ISNUMBER(SEARCH(",9,",","&amp;Activities!$E81&amp;",")),AND(Activities!$C81&lt;=9,Activities!$D81&gt;=9))),IF(Activities!$H81="Coaches","🌱 ",IF(Activities!$H81="Coordinators","⚙️ ",IF(Activities!$H81="Both","👥 ","")))&amp;Activities!$B81&amp;CHAR(10)&amp;REPT("●",Activities!$F81),"")</f>
        <v/>
      </c>
      <c r="L80" s="7" t="str">
        <f>IF(AND(Activities!$A81&lt;&gt;"",IF(Activities!$E81&lt;&gt;"",ISNUMBER(SEARCH(",10,",","&amp;Activities!$E81&amp;",")),AND(Activities!$C81&lt;=10,Activities!$D81&gt;=10))),IF(Activities!$H81="Coaches","🌱 ",IF(Activities!$H81="Coordinators","⚙️ ",IF(Activities!$H81="Both","👥 ","")))&amp;Activities!$B81&amp;CHAR(10)&amp;REPT("●",Activities!$F81),"")</f>
        <v/>
      </c>
      <c r="M80" s="7" t="str">
        <f>IF(AND(Activities!$A81&lt;&gt;"",IF(Activities!$E81&lt;&gt;"",ISNUMBER(SEARCH(",11,",","&amp;Activities!$E81&amp;",")),AND(Activities!$C81&lt;=11,Activities!$D81&gt;=11))),IF(Activities!$H81="Coaches","🌱 ",IF(Activities!$H81="Coordinators","⚙️ ",IF(Activities!$H81="Both","👥 ","")))&amp;Activities!$B81&amp;CHAR(10)&amp;REPT("●",Activities!$F81),"")</f>
        <v/>
      </c>
      <c r="N80" s="7" t="str">
        <f>IF(AND(Activities!$A81&lt;&gt;"",IF(Activities!$E81&lt;&gt;"",ISNUMBER(SEARCH(",12,",","&amp;Activities!$E81&amp;",")),AND(Activities!$C81&lt;=12,Activities!$D81&gt;=12))),IF(Activities!$H81="Coaches","🌱 ",IF(Activities!$H81="Coordinators","⚙️ ",IF(Activities!$H81="Both","👥 ","")))&amp;Activities!$B81&amp;CHAR(10)&amp;REPT("●",Activities!$F81),"")</f>
        <v/>
      </c>
    </row>
    <row r="81" spans="1:14" s="8" customFormat="1" ht="20">
      <c r="A81" s="14" t="str">
        <f>IF(Activities!$A82&lt;&gt;"",Activities!$A82,"")</f>
        <v/>
      </c>
      <c r="B81" s="7" t="str">
        <f>IF(Activities!$B82&lt;&gt;"",Activities!$B82,"")</f>
        <v/>
      </c>
      <c r="C81" s="7" t="str">
        <f>IF(AND(Activities!$A82&lt;&gt;"",IF(Activities!$E82&lt;&gt;"",ISNUMBER(SEARCH(",1,",","&amp;Activities!$E82&amp;",")),AND(Activities!$C82&lt;=1,Activities!$D82&gt;=1))),IF(Activities!$H82="Coaches","🌱 ",IF(Activities!$H82="Coordinators","⚙️ ",IF(Activities!$H82="Both","👥 ","")))&amp;Activities!$B82&amp;CHAR(10)&amp;REPT("●",Activities!$F82),"")</f>
        <v/>
      </c>
      <c r="D81" s="7" t="str">
        <f>IF(AND(Activities!$A82&lt;&gt;"",IF(Activities!$E82&lt;&gt;"",ISNUMBER(SEARCH(",2,",","&amp;Activities!$E82&amp;",")),AND(Activities!$C82&lt;=2,Activities!$D82&gt;=2))),IF(Activities!$H82="Coaches","🌱 ",IF(Activities!$H82="Coordinators","⚙️ ",IF(Activities!$H82="Both","👥 ","")))&amp;Activities!$B82&amp;CHAR(10)&amp;REPT("●",Activities!$F82),"")</f>
        <v/>
      </c>
      <c r="E81" s="7" t="str">
        <f>IF(AND(Activities!$A82&lt;&gt;"",IF(Activities!$E82&lt;&gt;"",ISNUMBER(SEARCH(",3,",","&amp;Activities!$E82&amp;",")),AND(Activities!$C82&lt;=3,Activities!$D82&gt;=3))),IF(Activities!$H82="Coaches","🌱 ",IF(Activities!$H82="Coordinators","⚙️ ",IF(Activities!$H82="Both","👥 ","")))&amp;Activities!$B82&amp;CHAR(10)&amp;REPT("●",Activities!$F82),"")</f>
        <v/>
      </c>
      <c r="F81" s="7" t="str">
        <f>IF(AND(Activities!$A82&lt;&gt;"",IF(Activities!$E82&lt;&gt;"",ISNUMBER(SEARCH(",4,",","&amp;Activities!$E82&amp;",")),AND(Activities!$C82&lt;=4,Activities!$D82&gt;=4))),IF(Activities!$H82="Coaches","🌱 ",IF(Activities!$H82="Coordinators","⚙️ ",IF(Activities!$H82="Both","👥 ","")))&amp;Activities!$B82&amp;CHAR(10)&amp;REPT("●",Activities!$F82),"")</f>
        <v/>
      </c>
      <c r="G81" s="7" t="str">
        <f>IF(AND(Activities!$A82&lt;&gt;"",IF(Activities!$E82&lt;&gt;"",ISNUMBER(SEARCH(",5,",","&amp;Activities!$E82&amp;",")),AND(Activities!$C82&lt;=5,Activities!$D82&gt;=5))),IF(Activities!$H82="Coaches","🌱 ",IF(Activities!$H82="Coordinators","⚙️ ",IF(Activities!$H82="Both","👥 ","")))&amp;Activities!$B82&amp;CHAR(10)&amp;REPT("●",Activities!$F82),"")</f>
        <v/>
      </c>
      <c r="H81" s="7" t="str">
        <f>IF(AND(Activities!$A82&lt;&gt;"",IF(Activities!$E82&lt;&gt;"",ISNUMBER(SEARCH(",6,",","&amp;Activities!$E82&amp;",")),AND(Activities!$C82&lt;=6,Activities!$D82&gt;=6))),IF(Activities!$H82="Coaches","🌱 ",IF(Activities!$H82="Coordinators","⚙️ ",IF(Activities!$H82="Both","👥 ","")))&amp;Activities!$B82&amp;CHAR(10)&amp;REPT("●",Activities!$F82),"")</f>
        <v/>
      </c>
      <c r="I81" s="7" t="str">
        <f>IF(AND(Activities!$A82&lt;&gt;"",IF(Activities!$E82&lt;&gt;"",ISNUMBER(SEARCH(",7,",","&amp;Activities!$E82&amp;",")),AND(Activities!$C82&lt;=7,Activities!$D82&gt;=7))),IF(Activities!$H82="Coaches","🌱 ",IF(Activities!$H82="Coordinators","⚙️ ",IF(Activities!$H82="Both","👥 ","")))&amp;Activities!$B82&amp;CHAR(10)&amp;REPT("●",Activities!$F82),"")</f>
        <v/>
      </c>
      <c r="J81" s="7" t="str">
        <f>IF(AND(Activities!$A82&lt;&gt;"",IF(Activities!$E82&lt;&gt;"",ISNUMBER(SEARCH(",8,",","&amp;Activities!$E82&amp;",")),AND(Activities!$C82&lt;=8,Activities!$D82&gt;=8))),IF(Activities!$H82="Coaches","🌱 ",IF(Activities!$H82="Coordinators","⚙️ ",IF(Activities!$H82="Both","👥 ","")))&amp;Activities!$B82&amp;CHAR(10)&amp;REPT("●",Activities!$F82),"")</f>
        <v/>
      </c>
      <c r="K81" s="7" t="str">
        <f>IF(AND(Activities!$A82&lt;&gt;"",IF(Activities!$E82&lt;&gt;"",ISNUMBER(SEARCH(",9,",","&amp;Activities!$E82&amp;",")),AND(Activities!$C82&lt;=9,Activities!$D82&gt;=9))),IF(Activities!$H82="Coaches","🌱 ",IF(Activities!$H82="Coordinators","⚙️ ",IF(Activities!$H82="Both","👥 ","")))&amp;Activities!$B82&amp;CHAR(10)&amp;REPT("●",Activities!$F82),"")</f>
        <v/>
      </c>
      <c r="L81" s="7" t="str">
        <f>IF(AND(Activities!$A82&lt;&gt;"",IF(Activities!$E82&lt;&gt;"",ISNUMBER(SEARCH(",10,",","&amp;Activities!$E82&amp;",")),AND(Activities!$C82&lt;=10,Activities!$D82&gt;=10))),IF(Activities!$H82="Coaches","🌱 ",IF(Activities!$H82="Coordinators","⚙️ ",IF(Activities!$H82="Both","👥 ","")))&amp;Activities!$B82&amp;CHAR(10)&amp;REPT("●",Activities!$F82),"")</f>
        <v/>
      </c>
      <c r="M81" s="7" t="str">
        <f>IF(AND(Activities!$A82&lt;&gt;"",IF(Activities!$E82&lt;&gt;"",ISNUMBER(SEARCH(",11,",","&amp;Activities!$E82&amp;",")),AND(Activities!$C82&lt;=11,Activities!$D82&gt;=11))),IF(Activities!$H82="Coaches","🌱 ",IF(Activities!$H82="Coordinators","⚙️ ",IF(Activities!$H82="Both","👥 ","")))&amp;Activities!$B82&amp;CHAR(10)&amp;REPT("●",Activities!$F82),"")</f>
        <v/>
      </c>
      <c r="N81" s="7" t="str">
        <f>IF(AND(Activities!$A82&lt;&gt;"",IF(Activities!$E82&lt;&gt;"",ISNUMBER(SEARCH(",12,",","&amp;Activities!$E82&amp;",")),AND(Activities!$C82&lt;=12,Activities!$D82&gt;=12))),IF(Activities!$H82="Coaches","🌱 ",IF(Activities!$H82="Coordinators","⚙️ ",IF(Activities!$H82="Both","👥 ","")))&amp;Activities!$B82&amp;CHAR(10)&amp;REPT("●",Activities!$F82),"")</f>
        <v/>
      </c>
    </row>
    <row r="82" spans="1:14" s="8" customFormat="1" ht="20">
      <c r="A82" s="14" t="str">
        <f>IF(Activities!$A83&lt;&gt;"",Activities!$A83,"")</f>
        <v/>
      </c>
      <c r="B82" s="7" t="str">
        <f>IF(Activities!$B83&lt;&gt;"",Activities!$B83,"")</f>
        <v/>
      </c>
      <c r="C82" s="7" t="str">
        <f>IF(AND(Activities!$A83&lt;&gt;"",IF(Activities!$E83&lt;&gt;"",ISNUMBER(SEARCH(",1,",","&amp;Activities!$E83&amp;",")),AND(Activities!$C83&lt;=1,Activities!$D83&gt;=1))),IF(Activities!$H83="Coaches","🌱 ",IF(Activities!$H83="Coordinators","⚙️ ",IF(Activities!$H83="Both","👥 ","")))&amp;Activities!$B83&amp;CHAR(10)&amp;REPT("●",Activities!$F83),"")</f>
        <v/>
      </c>
      <c r="D82" s="7" t="str">
        <f>IF(AND(Activities!$A83&lt;&gt;"",IF(Activities!$E83&lt;&gt;"",ISNUMBER(SEARCH(",2,",","&amp;Activities!$E83&amp;",")),AND(Activities!$C83&lt;=2,Activities!$D83&gt;=2))),IF(Activities!$H83="Coaches","🌱 ",IF(Activities!$H83="Coordinators","⚙️ ",IF(Activities!$H83="Both","👥 ","")))&amp;Activities!$B83&amp;CHAR(10)&amp;REPT("●",Activities!$F83),"")</f>
        <v/>
      </c>
      <c r="E82" s="7" t="str">
        <f>IF(AND(Activities!$A83&lt;&gt;"",IF(Activities!$E83&lt;&gt;"",ISNUMBER(SEARCH(",3,",","&amp;Activities!$E83&amp;",")),AND(Activities!$C83&lt;=3,Activities!$D83&gt;=3))),IF(Activities!$H83="Coaches","🌱 ",IF(Activities!$H83="Coordinators","⚙️ ",IF(Activities!$H83="Both","👥 ","")))&amp;Activities!$B83&amp;CHAR(10)&amp;REPT("●",Activities!$F83),"")</f>
        <v/>
      </c>
      <c r="F82" s="7" t="str">
        <f>IF(AND(Activities!$A83&lt;&gt;"",IF(Activities!$E83&lt;&gt;"",ISNUMBER(SEARCH(",4,",","&amp;Activities!$E83&amp;",")),AND(Activities!$C83&lt;=4,Activities!$D83&gt;=4))),IF(Activities!$H83="Coaches","🌱 ",IF(Activities!$H83="Coordinators","⚙️ ",IF(Activities!$H83="Both","👥 ","")))&amp;Activities!$B83&amp;CHAR(10)&amp;REPT("●",Activities!$F83),"")</f>
        <v/>
      </c>
      <c r="G82" s="7" t="str">
        <f>IF(AND(Activities!$A83&lt;&gt;"",IF(Activities!$E83&lt;&gt;"",ISNUMBER(SEARCH(",5,",","&amp;Activities!$E83&amp;",")),AND(Activities!$C83&lt;=5,Activities!$D83&gt;=5))),IF(Activities!$H83="Coaches","🌱 ",IF(Activities!$H83="Coordinators","⚙️ ",IF(Activities!$H83="Both","👥 ","")))&amp;Activities!$B83&amp;CHAR(10)&amp;REPT("●",Activities!$F83),"")</f>
        <v/>
      </c>
      <c r="H82" s="7" t="str">
        <f>IF(AND(Activities!$A83&lt;&gt;"",IF(Activities!$E83&lt;&gt;"",ISNUMBER(SEARCH(",6,",","&amp;Activities!$E83&amp;",")),AND(Activities!$C83&lt;=6,Activities!$D83&gt;=6))),IF(Activities!$H83="Coaches","🌱 ",IF(Activities!$H83="Coordinators","⚙️ ",IF(Activities!$H83="Both","👥 ","")))&amp;Activities!$B83&amp;CHAR(10)&amp;REPT("●",Activities!$F83),"")</f>
        <v/>
      </c>
      <c r="I82" s="7" t="str">
        <f>IF(AND(Activities!$A83&lt;&gt;"",IF(Activities!$E83&lt;&gt;"",ISNUMBER(SEARCH(",7,",","&amp;Activities!$E83&amp;",")),AND(Activities!$C83&lt;=7,Activities!$D83&gt;=7))),IF(Activities!$H83="Coaches","🌱 ",IF(Activities!$H83="Coordinators","⚙️ ",IF(Activities!$H83="Both","👥 ","")))&amp;Activities!$B83&amp;CHAR(10)&amp;REPT("●",Activities!$F83),"")</f>
        <v/>
      </c>
      <c r="J82" s="7" t="str">
        <f>IF(AND(Activities!$A83&lt;&gt;"",IF(Activities!$E83&lt;&gt;"",ISNUMBER(SEARCH(",8,",","&amp;Activities!$E83&amp;",")),AND(Activities!$C83&lt;=8,Activities!$D83&gt;=8))),IF(Activities!$H83="Coaches","🌱 ",IF(Activities!$H83="Coordinators","⚙️ ",IF(Activities!$H83="Both","👥 ","")))&amp;Activities!$B83&amp;CHAR(10)&amp;REPT("●",Activities!$F83),"")</f>
        <v/>
      </c>
      <c r="K82" s="7" t="str">
        <f>IF(AND(Activities!$A83&lt;&gt;"",IF(Activities!$E83&lt;&gt;"",ISNUMBER(SEARCH(",9,",","&amp;Activities!$E83&amp;",")),AND(Activities!$C83&lt;=9,Activities!$D83&gt;=9))),IF(Activities!$H83="Coaches","🌱 ",IF(Activities!$H83="Coordinators","⚙️ ",IF(Activities!$H83="Both","👥 ","")))&amp;Activities!$B83&amp;CHAR(10)&amp;REPT("●",Activities!$F83),"")</f>
        <v/>
      </c>
      <c r="L82" s="7" t="str">
        <f>IF(AND(Activities!$A83&lt;&gt;"",IF(Activities!$E83&lt;&gt;"",ISNUMBER(SEARCH(",10,",","&amp;Activities!$E83&amp;",")),AND(Activities!$C83&lt;=10,Activities!$D83&gt;=10))),IF(Activities!$H83="Coaches","🌱 ",IF(Activities!$H83="Coordinators","⚙️ ",IF(Activities!$H83="Both","👥 ","")))&amp;Activities!$B83&amp;CHAR(10)&amp;REPT("●",Activities!$F83),"")</f>
        <v/>
      </c>
      <c r="M82" s="7" t="str">
        <f>IF(AND(Activities!$A83&lt;&gt;"",IF(Activities!$E83&lt;&gt;"",ISNUMBER(SEARCH(",11,",","&amp;Activities!$E83&amp;",")),AND(Activities!$C83&lt;=11,Activities!$D83&gt;=11))),IF(Activities!$H83="Coaches","🌱 ",IF(Activities!$H83="Coordinators","⚙️ ",IF(Activities!$H83="Both","👥 ","")))&amp;Activities!$B83&amp;CHAR(10)&amp;REPT("●",Activities!$F83),"")</f>
        <v/>
      </c>
      <c r="N82" s="7" t="str">
        <f>IF(AND(Activities!$A83&lt;&gt;"",IF(Activities!$E83&lt;&gt;"",ISNUMBER(SEARCH(",12,",","&amp;Activities!$E83&amp;",")),AND(Activities!$C83&lt;=12,Activities!$D83&gt;=12))),IF(Activities!$H83="Coaches","🌱 ",IF(Activities!$H83="Coordinators","⚙️ ",IF(Activities!$H83="Both","👥 ","")))&amp;Activities!$B83&amp;CHAR(10)&amp;REPT("●",Activities!$F83),"")</f>
        <v/>
      </c>
    </row>
    <row r="83" spans="1:14" s="8" customFormat="1" ht="20">
      <c r="A83" s="14" t="str">
        <f>IF(Activities!$A84&lt;&gt;"",Activities!$A84,"")</f>
        <v/>
      </c>
      <c r="B83" s="7" t="str">
        <f>IF(Activities!$B84&lt;&gt;"",Activities!$B84,"")</f>
        <v/>
      </c>
      <c r="C83" s="7" t="str">
        <f>IF(AND(Activities!$A84&lt;&gt;"",IF(Activities!$E84&lt;&gt;"",ISNUMBER(SEARCH(",1,",","&amp;Activities!$E84&amp;",")),AND(Activities!$C84&lt;=1,Activities!$D84&gt;=1))),IF(Activities!$H84="Coaches","🌱 ",IF(Activities!$H84="Coordinators","⚙️ ",IF(Activities!$H84="Both","👥 ","")))&amp;Activities!$B84&amp;CHAR(10)&amp;REPT("●",Activities!$F84),"")</f>
        <v/>
      </c>
      <c r="D83" s="7" t="str">
        <f>IF(AND(Activities!$A84&lt;&gt;"",IF(Activities!$E84&lt;&gt;"",ISNUMBER(SEARCH(",2,",","&amp;Activities!$E84&amp;",")),AND(Activities!$C84&lt;=2,Activities!$D84&gt;=2))),IF(Activities!$H84="Coaches","🌱 ",IF(Activities!$H84="Coordinators","⚙️ ",IF(Activities!$H84="Both","👥 ","")))&amp;Activities!$B84&amp;CHAR(10)&amp;REPT("●",Activities!$F84),"")</f>
        <v/>
      </c>
      <c r="E83" s="7" t="str">
        <f>IF(AND(Activities!$A84&lt;&gt;"",IF(Activities!$E84&lt;&gt;"",ISNUMBER(SEARCH(",3,",","&amp;Activities!$E84&amp;",")),AND(Activities!$C84&lt;=3,Activities!$D84&gt;=3))),IF(Activities!$H84="Coaches","🌱 ",IF(Activities!$H84="Coordinators","⚙️ ",IF(Activities!$H84="Both","👥 ","")))&amp;Activities!$B84&amp;CHAR(10)&amp;REPT("●",Activities!$F84),"")</f>
        <v/>
      </c>
      <c r="F83" s="7" t="str">
        <f>IF(AND(Activities!$A84&lt;&gt;"",IF(Activities!$E84&lt;&gt;"",ISNUMBER(SEARCH(",4,",","&amp;Activities!$E84&amp;",")),AND(Activities!$C84&lt;=4,Activities!$D84&gt;=4))),IF(Activities!$H84="Coaches","🌱 ",IF(Activities!$H84="Coordinators","⚙️ ",IF(Activities!$H84="Both","👥 ","")))&amp;Activities!$B84&amp;CHAR(10)&amp;REPT("●",Activities!$F84),"")</f>
        <v/>
      </c>
      <c r="G83" s="7" t="str">
        <f>IF(AND(Activities!$A84&lt;&gt;"",IF(Activities!$E84&lt;&gt;"",ISNUMBER(SEARCH(",5,",","&amp;Activities!$E84&amp;",")),AND(Activities!$C84&lt;=5,Activities!$D84&gt;=5))),IF(Activities!$H84="Coaches","🌱 ",IF(Activities!$H84="Coordinators","⚙️ ",IF(Activities!$H84="Both","👥 ","")))&amp;Activities!$B84&amp;CHAR(10)&amp;REPT("●",Activities!$F84),"")</f>
        <v/>
      </c>
      <c r="H83" s="7" t="str">
        <f>IF(AND(Activities!$A84&lt;&gt;"",IF(Activities!$E84&lt;&gt;"",ISNUMBER(SEARCH(",6,",","&amp;Activities!$E84&amp;",")),AND(Activities!$C84&lt;=6,Activities!$D84&gt;=6))),IF(Activities!$H84="Coaches","🌱 ",IF(Activities!$H84="Coordinators","⚙️ ",IF(Activities!$H84="Both","👥 ","")))&amp;Activities!$B84&amp;CHAR(10)&amp;REPT("●",Activities!$F84),"")</f>
        <v/>
      </c>
      <c r="I83" s="7" t="str">
        <f>IF(AND(Activities!$A84&lt;&gt;"",IF(Activities!$E84&lt;&gt;"",ISNUMBER(SEARCH(",7,",","&amp;Activities!$E84&amp;",")),AND(Activities!$C84&lt;=7,Activities!$D84&gt;=7))),IF(Activities!$H84="Coaches","🌱 ",IF(Activities!$H84="Coordinators","⚙️ ",IF(Activities!$H84="Both","👥 ","")))&amp;Activities!$B84&amp;CHAR(10)&amp;REPT("●",Activities!$F84),"")</f>
        <v/>
      </c>
      <c r="J83" s="7" t="str">
        <f>IF(AND(Activities!$A84&lt;&gt;"",IF(Activities!$E84&lt;&gt;"",ISNUMBER(SEARCH(",8,",","&amp;Activities!$E84&amp;",")),AND(Activities!$C84&lt;=8,Activities!$D84&gt;=8))),IF(Activities!$H84="Coaches","🌱 ",IF(Activities!$H84="Coordinators","⚙️ ",IF(Activities!$H84="Both","👥 ","")))&amp;Activities!$B84&amp;CHAR(10)&amp;REPT("●",Activities!$F84),"")</f>
        <v/>
      </c>
      <c r="K83" s="7" t="str">
        <f>IF(AND(Activities!$A84&lt;&gt;"",IF(Activities!$E84&lt;&gt;"",ISNUMBER(SEARCH(",9,",","&amp;Activities!$E84&amp;",")),AND(Activities!$C84&lt;=9,Activities!$D84&gt;=9))),IF(Activities!$H84="Coaches","🌱 ",IF(Activities!$H84="Coordinators","⚙️ ",IF(Activities!$H84="Both","👥 ","")))&amp;Activities!$B84&amp;CHAR(10)&amp;REPT("●",Activities!$F84),"")</f>
        <v/>
      </c>
      <c r="L83" s="7" t="str">
        <f>IF(AND(Activities!$A84&lt;&gt;"",IF(Activities!$E84&lt;&gt;"",ISNUMBER(SEARCH(",10,",","&amp;Activities!$E84&amp;",")),AND(Activities!$C84&lt;=10,Activities!$D84&gt;=10))),IF(Activities!$H84="Coaches","🌱 ",IF(Activities!$H84="Coordinators","⚙️ ",IF(Activities!$H84="Both","👥 ","")))&amp;Activities!$B84&amp;CHAR(10)&amp;REPT("●",Activities!$F84),"")</f>
        <v/>
      </c>
      <c r="M83" s="7" t="str">
        <f>IF(AND(Activities!$A84&lt;&gt;"",IF(Activities!$E84&lt;&gt;"",ISNUMBER(SEARCH(",11,",","&amp;Activities!$E84&amp;",")),AND(Activities!$C84&lt;=11,Activities!$D84&gt;=11))),IF(Activities!$H84="Coaches","🌱 ",IF(Activities!$H84="Coordinators","⚙️ ",IF(Activities!$H84="Both","👥 ","")))&amp;Activities!$B84&amp;CHAR(10)&amp;REPT("●",Activities!$F84),"")</f>
        <v/>
      </c>
      <c r="N83" s="7" t="str">
        <f>IF(AND(Activities!$A84&lt;&gt;"",IF(Activities!$E84&lt;&gt;"",ISNUMBER(SEARCH(",12,",","&amp;Activities!$E84&amp;",")),AND(Activities!$C84&lt;=12,Activities!$D84&gt;=12))),IF(Activities!$H84="Coaches","🌱 ",IF(Activities!$H84="Coordinators","⚙️ ",IF(Activities!$H84="Both","👥 ","")))&amp;Activities!$B84&amp;CHAR(10)&amp;REPT("●",Activities!$F84),"")</f>
        <v/>
      </c>
    </row>
    <row r="84" spans="1:14" s="8" customFormat="1" ht="20">
      <c r="A84" s="14" t="str">
        <f>IF(Activities!$A85&lt;&gt;"",Activities!$A85,"")</f>
        <v/>
      </c>
      <c r="B84" s="7" t="str">
        <f>IF(Activities!$B85&lt;&gt;"",Activities!$B85,"")</f>
        <v/>
      </c>
      <c r="C84" s="7" t="str">
        <f>IF(AND(Activities!$A85&lt;&gt;"",IF(Activities!$E85&lt;&gt;"",ISNUMBER(SEARCH(",1,",","&amp;Activities!$E85&amp;",")),AND(Activities!$C85&lt;=1,Activities!$D85&gt;=1))),IF(Activities!$H85="Coaches","🌱 ",IF(Activities!$H85="Coordinators","⚙️ ",IF(Activities!$H85="Both","👥 ","")))&amp;Activities!$B85&amp;CHAR(10)&amp;REPT("●",Activities!$F85),"")</f>
        <v/>
      </c>
      <c r="D84" s="7" t="str">
        <f>IF(AND(Activities!$A85&lt;&gt;"",IF(Activities!$E85&lt;&gt;"",ISNUMBER(SEARCH(",2,",","&amp;Activities!$E85&amp;",")),AND(Activities!$C85&lt;=2,Activities!$D85&gt;=2))),IF(Activities!$H85="Coaches","🌱 ",IF(Activities!$H85="Coordinators","⚙️ ",IF(Activities!$H85="Both","👥 ","")))&amp;Activities!$B85&amp;CHAR(10)&amp;REPT("●",Activities!$F85),"")</f>
        <v/>
      </c>
      <c r="E84" s="7" t="str">
        <f>IF(AND(Activities!$A85&lt;&gt;"",IF(Activities!$E85&lt;&gt;"",ISNUMBER(SEARCH(",3,",","&amp;Activities!$E85&amp;",")),AND(Activities!$C85&lt;=3,Activities!$D85&gt;=3))),IF(Activities!$H85="Coaches","🌱 ",IF(Activities!$H85="Coordinators","⚙️ ",IF(Activities!$H85="Both","👥 ","")))&amp;Activities!$B85&amp;CHAR(10)&amp;REPT("●",Activities!$F85),"")</f>
        <v/>
      </c>
      <c r="F84" s="7" t="str">
        <f>IF(AND(Activities!$A85&lt;&gt;"",IF(Activities!$E85&lt;&gt;"",ISNUMBER(SEARCH(",4,",","&amp;Activities!$E85&amp;",")),AND(Activities!$C85&lt;=4,Activities!$D85&gt;=4))),IF(Activities!$H85="Coaches","🌱 ",IF(Activities!$H85="Coordinators","⚙️ ",IF(Activities!$H85="Both","👥 ","")))&amp;Activities!$B85&amp;CHAR(10)&amp;REPT("●",Activities!$F85),"")</f>
        <v/>
      </c>
      <c r="G84" s="7" t="str">
        <f>IF(AND(Activities!$A85&lt;&gt;"",IF(Activities!$E85&lt;&gt;"",ISNUMBER(SEARCH(",5,",","&amp;Activities!$E85&amp;",")),AND(Activities!$C85&lt;=5,Activities!$D85&gt;=5))),IF(Activities!$H85="Coaches","🌱 ",IF(Activities!$H85="Coordinators","⚙️ ",IF(Activities!$H85="Both","👥 ","")))&amp;Activities!$B85&amp;CHAR(10)&amp;REPT("●",Activities!$F85),"")</f>
        <v/>
      </c>
      <c r="H84" s="7" t="str">
        <f>IF(AND(Activities!$A85&lt;&gt;"",IF(Activities!$E85&lt;&gt;"",ISNUMBER(SEARCH(",6,",","&amp;Activities!$E85&amp;",")),AND(Activities!$C85&lt;=6,Activities!$D85&gt;=6))),IF(Activities!$H85="Coaches","🌱 ",IF(Activities!$H85="Coordinators","⚙️ ",IF(Activities!$H85="Both","👥 ","")))&amp;Activities!$B85&amp;CHAR(10)&amp;REPT("●",Activities!$F85),"")</f>
        <v/>
      </c>
      <c r="I84" s="7" t="str">
        <f>IF(AND(Activities!$A85&lt;&gt;"",IF(Activities!$E85&lt;&gt;"",ISNUMBER(SEARCH(",7,",","&amp;Activities!$E85&amp;",")),AND(Activities!$C85&lt;=7,Activities!$D85&gt;=7))),IF(Activities!$H85="Coaches","🌱 ",IF(Activities!$H85="Coordinators","⚙️ ",IF(Activities!$H85="Both","👥 ","")))&amp;Activities!$B85&amp;CHAR(10)&amp;REPT("●",Activities!$F85),"")</f>
        <v/>
      </c>
      <c r="J84" s="7" t="str">
        <f>IF(AND(Activities!$A85&lt;&gt;"",IF(Activities!$E85&lt;&gt;"",ISNUMBER(SEARCH(",8,",","&amp;Activities!$E85&amp;",")),AND(Activities!$C85&lt;=8,Activities!$D85&gt;=8))),IF(Activities!$H85="Coaches","🌱 ",IF(Activities!$H85="Coordinators","⚙️ ",IF(Activities!$H85="Both","👥 ","")))&amp;Activities!$B85&amp;CHAR(10)&amp;REPT("●",Activities!$F85),"")</f>
        <v/>
      </c>
      <c r="K84" s="7" t="str">
        <f>IF(AND(Activities!$A85&lt;&gt;"",IF(Activities!$E85&lt;&gt;"",ISNUMBER(SEARCH(",9,",","&amp;Activities!$E85&amp;",")),AND(Activities!$C85&lt;=9,Activities!$D85&gt;=9))),IF(Activities!$H85="Coaches","🌱 ",IF(Activities!$H85="Coordinators","⚙️ ",IF(Activities!$H85="Both","👥 ","")))&amp;Activities!$B85&amp;CHAR(10)&amp;REPT("●",Activities!$F85),"")</f>
        <v/>
      </c>
      <c r="L84" s="7" t="str">
        <f>IF(AND(Activities!$A85&lt;&gt;"",IF(Activities!$E85&lt;&gt;"",ISNUMBER(SEARCH(",10,",","&amp;Activities!$E85&amp;",")),AND(Activities!$C85&lt;=10,Activities!$D85&gt;=10))),IF(Activities!$H85="Coaches","🌱 ",IF(Activities!$H85="Coordinators","⚙️ ",IF(Activities!$H85="Both","👥 ","")))&amp;Activities!$B85&amp;CHAR(10)&amp;REPT("●",Activities!$F85),"")</f>
        <v/>
      </c>
      <c r="M84" s="7" t="str">
        <f>IF(AND(Activities!$A85&lt;&gt;"",IF(Activities!$E85&lt;&gt;"",ISNUMBER(SEARCH(",11,",","&amp;Activities!$E85&amp;",")),AND(Activities!$C85&lt;=11,Activities!$D85&gt;=11))),IF(Activities!$H85="Coaches","🌱 ",IF(Activities!$H85="Coordinators","⚙️ ",IF(Activities!$H85="Both","👥 ","")))&amp;Activities!$B85&amp;CHAR(10)&amp;REPT("●",Activities!$F85),"")</f>
        <v/>
      </c>
      <c r="N84" s="7" t="str">
        <f>IF(AND(Activities!$A85&lt;&gt;"",IF(Activities!$E85&lt;&gt;"",ISNUMBER(SEARCH(",12,",","&amp;Activities!$E85&amp;",")),AND(Activities!$C85&lt;=12,Activities!$D85&gt;=12))),IF(Activities!$H85="Coaches","🌱 ",IF(Activities!$H85="Coordinators","⚙️ ",IF(Activities!$H85="Both","👥 ","")))&amp;Activities!$B85&amp;CHAR(10)&amp;REPT("●",Activities!$F85),"")</f>
        <v/>
      </c>
    </row>
    <row r="85" spans="1:14" s="8" customFormat="1" ht="20">
      <c r="A85" s="14" t="str">
        <f>IF(Activities!$A86&lt;&gt;"",Activities!$A86,"")</f>
        <v/>
      </c>
      <c r="B85" s="7" t="str">
        <f>IF(Activities!$B86&lt;&gt;"",Activities!$B86,"")</f>
        <v/>
      </c>
      <c r="C85" s="7" t="str">
        <f>IF(AND(Activities!$A86&lt;&gt;"",IF(Activities!$E86&lt;&gt;"",ISNUMBER(SEARCH(",1,",","&amp;Activities!$E86&amp;",")),AND(Activities!$C86&lt;=1,Activities!$D86&gt;=1))),IF(Activities!$H86="Coaches","🌱 ",IF(Activities!$H86="Coordinators","⚙️ ",IF(Activities!$H86="Both","👥 ","")))&amp;Activities!$B86&amp;CHAR(10)&amp;REPT("●",Activities!$F86),"")</f>
        <v/>
      </c>
      <c r="D85" s="7" t="str">
        <f>IF(AND(Activities!$A86&lt;&gt;"",IF(Activities!$E86&lt;&gt;"",ISNUMBER(SEARCH(",2,",","&amp;Activities!$E86&amp;",")),AND(Activities!$C86&lt;=2,Activities!$D86&gt;=2))),IF(Activities!$H86="Coaches","🌱 ",IF(Activities!$H86="Coordinators","⚙️ ",IF(Activities!$H86="Both","👥 ","")))&amp;Activities!$B86&amp;CHAR(10)&amp;REPT("●",Activities!$F86),"")</f>
        <v/>
      </c>
      <c r="E85" s="7" t="str">
        <f>IF(AND(Activities!$A86&lt;&gt;"",IF(Activities!$E86&lt;&gt;"",ISNUMBER(SEARCH(",3,",","&amp;Activities!$E86&amp;",")),AND(Activities!$C86&lt;=3,Activities!$D86&gt;=3))),IF(Activities!$H86="Coaches","🌱 ",IF(Activities!$H86="Coordinators","⚙️ ",IF(Activities!$H86="Both","👥 ","")))&amp;Activities!$B86&amp;CHAR(10)&amp;REPT("●",Activities!$F86),"")</f>
        <v/>
      </c>
      <c r="F85" s="7" t="str">
        <f>IF(AND(Activities!$A86&lt;&gt;"",IF(Activities!$E86&lt;&gt;"",ISNUMBER(SEARCH(",4,",","&amp;Activities!$E86&amp;",")),AND(Activities!$C86&lt;=4,Activities!$D86&gt;=4))),IF(Activities!$H86="Coaches","🌱 ",IF(Activities!$H86="Coordinators","⚙️ ",IF(Activities!$H86="Both","👥 ","")))&amp;Activities!$B86&amp;CHAR(10)&amp;REPT("●",Activities!$F86),"")</f>
        <v/>
      </c>
      <c r="G85" s="7" t="str">
        <f>IF(AND(Activities!$A86&lt;&gt;"",IF(Activities!$E86&lt;&gt;"",ISNUMBER(SEARCH(",5,",","&amp;Activities!$E86&amp;",")),AND(Activities!$C86&lt;=5,Activities!$D86&gt;=5))),IF(Activities!$H86="Coaches","🌱 ",IF(Activities!$H86="Coordinators","⚙️ ",IF(Activities!$H86="Both","👥 ","")))&amp;Activities!$B86&amp;CHAR(10)&amp;REPT("●",Activities!$F86),"")</f>
        <v/>
      </c>
      <c r="H85" s="7" t="str">
        <f>IF(AND(Activities!$A86&lt;&gt;"",IF(Activities!$E86&lt;&gt;"",ISNUMBER(SEARCH(",6,",","&amp;Activities!$E86&amp;",")),AND(Activities!$C86&lt;=6,Activities!$D86&gt;=6))),IF(Activities!$H86="Coaches","🌱 ",IF(Activities!$H86="Coordinators","⚙️ ",IF(Activities!$H86="Both","👥 ","")))&amp;Activities!$B86&amp;CHAR(10)&amp;REPT("●",Activities!$F86),"")</f>
        <v/>
      </c>
      <c r="I85" s="7" t="str">
        <f>IF(AND(Activities!$A86&lt;&gt;"",IF(Activities!$E86&lt;&gt;"",ISNUMBER(SEARCH(",7,",","&amp;Activities!$E86&amp;",")),AND(Activities!$C86&lt;=7,Activities!$D86&gt;=7))),IF(Activities!$H86="Coaches","🌱 ",IF(Activities!$H86="Coordinators","⚙️ ",IF(Activities!$H86="Both","👥 ","")))&amp;Activities!$B86&amp;CHAR(10)&amp;REPT("●",Activities!$F86),"")</f>
        <v/>
      </c>
      <c r="J85" s="7" t="str">
        <f>IF(AND(Activities!$A86&lt;&gt;"",IF(Activities!$E86&lt;&gt;"",ISNUMBER(SEARCH(",8,",","&amp;Activities!$E86&amp;",")),AND(Activities!$C86&lt;=8,Activities!$D86&gt;=8))),IF(Activities!$H86="Coaches","🌱 ",IF(Activities!$H86="Coordinators","⚙️ ",IF(Activities!$H86="Both","👥 ","")))&amp;Activities!$B86&amp;CHAR(10)&amp;REPT("●",Activities!$F86),"")</f>
        <v/>
      </c>
      <c r="K85" s="7" t="str">
        <f>IF(AND(Activities!$A86&lt;&gt;"",IF(Activities!$E86&lt;&gt;"",ISNUMBER(SEARCH(",9,",","&amp;Activities!$E86&amp;",")),AND(Activities!$C86&lt;=9,Activities!$D86&gt;=9))),IF(Activities!$H86="Coaches","🌱 ",IF(Activities!$H86="Coordinators","⚙️ ",IF(Activities!$H86="Both","👥 ","")))&amp;Activities!$B86&amp;CHAR(10)&amp;REPT("●",Activities!$F86),"")</f>
        <v/>
      </c>
      <c r="L85" s="7" t="str">
        <f>IF(AND(Activities!$A86&lt;&gt;"",IF(Activities!$E86&lt;&gt;"",ISNUMBER(SEARCH(",10,",","&amp;Activities!$E86&amp;",")),AND(Activities!$C86&lt;=10,Activities!$D86&gt;=10))),IF(Activities!$H86="Coaches","🌱 ",IF(Activities!$H86="Coordinators","⚙️ ",IF(Activities!$H86="Both","👥 ","")))&amp;Activities!$B86&amp;CHAR(10)&amp;REPT("●",Activities!$F86),"")</f>
        <v/>
      </c>
      <c r="M85" s="7" t="str">
        <f>IF(AND(Activities!$A86&lt;&gt;"",IF(Activities!$E86&lt;&gt;"",ISNUMBER(SEARCH(",11,",","&amp;Activities!$E86&amp;",")),AND(Activities!$C86&lt;=11,Activities!$D86&gt;=11))),IF(Activities!$H86="Coaches","🌱 ",IF(Activities!$H86="Coordinators","⚙️ ",IF(Activities!$H86="Both","👥 ","")))&amp;Activities!$B86&amp;CHAR(10)&amp;REPT("●",Activities!$F86),"")</f>
        <v/>
      </c>
      <c r="N85" s="7" t="str">
        <f>IF(AND(Activities!$A86&lt;&gt;"",IF(Activities!$E86&lt;&gt;"",ISNUMBER(SEARCH(",12,",","&amp;Activities!$E86&amp;",")),AND(Activities!$C86&lt;=12,Activities!$D86&gt;=12))),IF(Activities!$H86="Coaches","🌱 ",IF(Activities!$H86="Coordinators","⚙️ ",IF(Activities!$H86="Both","👥 ","")))&amp;Activities!$B86&amp;CHAR(10)&amp;REPT("●",Activities!$F86),"")</f>
        <v/>
      </c>
    </row>
    <row r="86" spans="1:14" s="8" customFormat="1" ht="20">
      <c r="A86" s="14" t="str">
        <f>IF(Activities!$A87&lt;&gt;"",Activities!$A87,"")</f>
        <v/>
      </c>
      <c r="B86" s="7" t="str">
        <f>IF(Activities!$B87&lt;&gt;"",Activities!$B87,"")</f>
        <v/>
      </c>
      <c r="C86" s="7" t="str">
        <f>IF(AND(Activities!$A87&lt;&gt;"",IF(Activities!$E87&lt;&gt;"",ISNUMBER(SEARCH(",1,",","&amp;Activities!$E87&amp;",")),AND(Activities!$C87&lt;=1,Activities!$D87&gt;=1))),IF(Activities!$H87="Coaches","🌱 ",IF(Activities!$H87="Coordinators","⚙️ ",IF(Activities!$H87="Both","👥 ","")))&amp;Activities!$B87&amp;CHAR(10)&amp;REPT("●",Activities!$F87),"")</f>
        <v/>
      </c>
      <c r="D86" s="7" t="str">
        <f>IF(AND(Activities!$A87&lt;&gt;"",IF(Activities!$E87&lt;&gt;"",ISNUMBER(SEARCH(",2,",","&amp;Activities!$E87&amp;",")),AND(Activities!$C87&lt;=2,Activities!$D87&gt;=2))),IF(Activities!$H87="Coaches","🌱 ",IF(Activities!$H87="Coordinators","⚙️ ",IF(Activities!$H87="Both","👥 ","")))&amp;Activities!$B87&amp;CHAR(10)&amp;REPT("●",Activities!$F87),"")</f>
        <v/>
      </c>
      <c r="E86" s="7" t="str">
        <f>IF(AND(Activities!$A87&lt;&gt;"",IF(Activities!$E87&lt;&gt;"",ISNUMBER(SEARCH(",3,",","&amp;Activities!$E87&amp;",")),AND(Activities!$C87&lt;=3,Activities!$D87&gt;=3))),IF(Activities!$H87="Coaches","🌱 ",IF(Activities!$H87="Coordinators","⚙️ ",IF(Activities!$H87="Both","👥 ","")))&amp;Activities!$B87&amp;CHAR(10)&amp;REPT("●",Activities!$F87),"")</f>
        <v/>
      </c>
      <c r="F86" s="7" t="str">
        <f>IF(AND(Activities!$A87&lt;&gt;"",IF(Activities!$E87&lt;&gt;"",ISNUMBER(SEARCH(",4,",","&amp;Activities!$E87&amp;",")),AND(Activities!$C87&lt;=4,Activities!$D87&gt;=4))),IF(Activities!$H87="Coaches","🌱 ",IF(Activities!$H87="Coordinators","⚙️ ",IF(Activities!$H87="Both","👥 ","")))&amp;Activities!$B87&amp;CHAR(10)&amp;REPT("●",Activities!$F87),"")</f>
        <v/>
      </c>
      <c r="G86" s="7" t="str">
        <f>IF(AND(Activities!$A87&lt;&gt;"",IF(Activities!$E87&lt;&gt;"",ISNUMBER(SEARCH(",5,",","&amp;Activities!$E87&amp;",")),AND(Activities!$C87&lt;=5,Activities!$D87&gt;=5))),IF(Activities!$H87="Coaches","🌱 ",IF(Activities!$H87="Coordinators","⚙️ ",IF(Activities!$H87="Both","👥 ","")))&amp;Activities!$B87&amp;CHAR(10)&amp;REPT("●",Activities!$F87),"")</f>
        <v/>
      </c>
      <c r="H86" s="7" t="str">
        <f>IF(AND(Activities!$A87&lt;&gt;"",IF(Activities!$E87&lt;&gt;"",ISNUMBER(SEARCH(",6,",","&amp;Activities!$E87&amp;",")),AND(Activities!$C87&lt;=6,Activities!$D87&gt;=6))),IF(Activities!$H87="Coaches","🌱 ",IF(Activities!$H87="Coordinators","⚙️ ",IF(Activities!$H87="Both","👥 ","")))&amp;Activities!$B87&amp;CHAR(10)&amp;REPT("●",Activities!$F87),"")</f>
        <v/>
      </c>
      <c r="I86" s="7" t="str">
        <f>IF(AND(Activities!$A87&lt;&gt;"",IF(Activities!$E87&lt;&gt;"",ISNUMBER(SEARCH(",7,",","&amp;Activities!$E87&amp;",")),AND(Activities!$C87&lt;=7,Activities!$D87&gt;=7))),IF(Activities!$H87="Coaches","🌱 ",IF(Activities!$H87="Coordinators","⚙️ ",IF(Activities!$H87="Both","👥 ","")))&amp;Activities!$B87&amp;CHAR(10)&amp;REPT("●",Activities!$F87),"")</f>
        <v/>
      </c>
      <c r="J86" s="7" t="str">
        <f>IF(AND(Activities!$A87&lt;&gt;"",IF(Activities!$E87&lt;&gt;"",ISNUMBER(SEARCH(",8,",","&amp;Activities!$E87&amp;",")),AND(Activities!$C87&lt;=8,Activities!$D87&gt;=8))),IF(Activities!$H87="Coaches","🌱 ",IF(Activities!$H87="Coordinators","⚙️ ",IF(Activities!$H87="Both","👥 ","")))&amp;Activities!$B87&amp;CHAR(10)&amp;REPT("●",Activities!$F87),"")</f>
        <v/>
      </c>
      <c r="K86" s="7" t="str">
        <f>IF(AND(Activities!$A87&lt;&gt;"",IF(Activities!$E87&lt;&gt;"",ISNUMBER(SEARCH(",9,",","&amp;Activities!$E87&amp;",")),AND(Activities!$C87&lt;=9,Activities!$D87&gt;=9))),IF(Activities!$H87="Coaches","🌱 ",IF(Activities!$H87="Coordinators","⚙️ ",IF(Activities!$H87="Both","👥 ","")))&amp;Activities!$B87&amp;CHAR(10)&amp;REPT("●",Activities!$F87),"")</f>
        <v/>
      </c>
      <c r="L86" s="7" t="str">
        <f>IF(AND(Activities!$A87&lt;&gt;"",IF(Activities!$E87&lt;&gt;"",ISNUMBER(SEARCH(",10,",","&amp;Activities!$E87&amp;",")),AND(Activities!$C87&lt;=10,Activities!$D87&gt;=10))),IF(Activities!$H87="Coaches","🌱 ",IF(Activities!$H87="Coordinators","⚙️ ",IF(Activities!$H87="Both","👥 ","")))&amp;Activities!$B87&amp;CHAR(10)&amp;REPT("●",Activities!$F87),"")</f>
        <v/>
      </c>
      <c r="M86" s="7" t="str">
        <f>IF(AND(Activities!$A87&lt;&gt;"",IF(Activities!$E87&lt;&gt;"",ISNUMBER(SEARCH(",11,",","&amp;Activities!$E87&amp;",")),AND(Activities!$C87&lt;=11,Activities!$D87&gt;=11))),IF(Activities!$H87="Coaches","🌱 ",IF(Activities!$H87="Coordinators","⚙️ ",IF(Activities!$H87="Both","👥 ","")))&amp;Activities!$B87&amp;CHAR(10)&amp;REPT("●",Activities!$F87),"")</f>
        <v/>
      </c>
      <c r="N86" s="7" t="str">
        <f>IF(AND(Activities!$A87&lt;&gt;"",IF(Activities!$E87&lt;&gt;"",ISNUMBER(SEARCH(",12,",","&amp;Activities!$E87&amp;",")),AND(Activities!$C87&lt;=12,Activities!$D87&gt;=12))),IF(Activities!$H87="Coaches","🌱 ",IF(Activities!$H87="Coordinators","⚙️ ",IF(Activities!$H87="Both","👥 ","")))&amp;Activities!$B87&amp;CHAR(10)&amp;REPT("●",Activities!$F87),"")</f>
        <v/>
      </c>
    </row>
    <row r="87" spans="1:14" s="8" customFormat="1" ht="20">
      <c r="A87" s="14" t="str">
        <f>IF(Activities!$A88&lt;&gt;"",Activities!$A88,"")</f>
        <v/>
      </c>
      <c r="B87" s="7" t="str">
        <f>IF(Activities!$B88&lt;&gt;"",Activities!$B88,"")</f>
        <v/>
      </c>
      <c r="C87" s="7" t="str">
        <f>IF(AND(Activities!$A88&lt;&gt;"",IF(Activities!$E88&lt;&gt;"",ISNUMBER(SEARCH(",1,",","&amp;Activities!$E88&amp;",")),AND(Activities!$C88&lt;=1,Activities!$D88&gt;=1))),IF(Activities!$H88="Coaches","🌱 ",IF(Activities!$H88="Coordinators","⚙️ ",IF(Activities!$H88="Both","👥 ","")))&amp;Activities!$B88&amp;CHAR(10)&amp;REPT("●",Activities!$F88),"")</f>
        <v/>
      </c>
      <c r="D87" s="7" t="str">
        <f>IF(AND(Activities!$A88&lt;&gt;"",IF(Activities!$E88&lt;&gt;"",ISNUMBER(SEARCH(",2,",","&amp;Activities!$E88&amp;",")),AND(Activities!$C88&lt;=2,Activities!$D88&gt;=2))),IF(Activities!$H88="Coaches","🌱 ",IF(Activities!$H88="Coordinators","⚙️ ",IF(Activities!$H88="Both","👥 ","")))&amp;Activities!$B88&amp;CHAR(10)&amp;REPT("●",Activities!$F88),"")</f>
        <v/>
      </c>
      <c r="E87" s="7" t="str">
        <f>IF(AND(Activities!$A88&lt;&gt;"",IF(Activities!$E88&lt;&gt;"",ISNUMBER(SEARCH(",3,",","&amp;Activities!$E88&amp;",")),AND(Activities!$C88&lt;=3,Activities!$D88&gt;=3))),IF(Activities!$H88="Coaches","🌱 ",IF(Activities!$H88="Coordinators","⚙️ ",IF(Activities!$H88="Both","👥 ","")))&amp;Activities!$B88&amp;CHAR(10)&amp;REPT("●",Activities!$F88),"")</f>
        <v/>
      </c>
      <c r="F87" s="7" t="str">
        <f>IF(AND(Activities!$A88&lt;&gt;"",IF(Activities!$E88&lt;&gt;"",ISNUMBER(SEARCH(",4,",","&amp;Activities!$E88&amp;",")),AND(Activities!$C88&lt;=4,Activities!$D88&gt;=4))),IF(Activities!$H88="Coaches","🌱 ",IF(Activities!$H88="Coordinators","⚙️ ",IF(Activities!$H88="Both","👥 ","")))&amp;Activities!$B88&amp;CHAR(10)&amp;REPT("●",Activities!$F88),"")</f>
        <v/>
      </c>
      <c r="G87" s="7" t="str">
        <f>IF(AND(Activities!$A88&lt;&gt;"",IF(Activities!$E88&lt;&gt;"",ISNUMBER(SEARCH(",5,",","&amp;Activities!$E88&amp;",")),AND(Activities!$C88&lt;=5,Activities!$D88&gt;=5))),IF(Activities!$H88="Coaches","🌱 ",IF(Activities!$H88="Coordinators","⚙️ ",IF(Activities!$H88="Both","👥 ","")))&amp;Activities!$B88&amp;CHAR(10)&amp;REPT("●",Activities!$F88),"")</f>
        <v/>
      </c>
      <c r="H87" s="7" t="str">
        <f>IF(AND(Activities!$A88&lt;&gt;"",IF(Activities!$E88&lt;&gt;"",ISNUMBER(SEARCH(",6,",","&amp;Activities!$E88&amp;",")),AND(Activities!$C88&lt;=6,Activities!$D88&gt;=6))),IF(Activities!$H88="Coaches","🌱 ",IF(Activities!$H88="Coordinators","⚙️ ",IF(Activities!$H88="Both","👥 ","")))&amp;Activities!$B88&amp;CHAR(10)&amp;REPT("●",Activities!$F88),"")</f>
        <v/>
      </c>
      <c r="I87" s="7" t="str">
        <f>IF(AND(Activities!$A88&lt;&gt;"",IF(Activities!$E88&lt;&gt;"",ISNUMBER(SEARCH(",7,",","&amp;Activities!$E88&amp;",")),AND(Activities!$C88&lt;=7,Activities!$D88&gt;=7))),IF(Activities!$H88="Coaches","🌱 ",IF(Activities!$H88="Coordinators","⚙️ ",IF(Activities!$H88="Both","👥 ","")))&amp;Activities!$B88&amp;CHAR(10)&amp;REPT("●",Activities!$F88),"")</f>
        <v/>
      </c>
      <c r="J87" s="7" t="str">
        <f>IF(AND(Activities!$A88&lt;&gt;"",IF(Activities!$E88&lt;&gt;"",ISNUMBER(SEARCH(",8,",","&amp;Activities!$E88&amp;",")),AND(Activities!$C88&lt;=8,Activities!$D88&gt;=8))),IF(Activities!$H88="Coaches","🌱 ",IF(Activities!$H88="Coordinators","⚙️ ",IF(Activities!$H88="Both","👥 ","")))&amp;Activities!$B88&amp;CHAR(10)&amp;REPT("●",Activities!$F88),"")</f>
        <v/>
      </c>
      <c r="K87" s="7" t="str">
        <f>IF(AND(Activities!$A88&lt;&gt;"",IF(Activities!$E88&lt;&gt;"",ISNUMBER(SEARCH(",9,",","&amp;Activities!$E88&amp;",")),AND(Activities!$C88&lt;=9,Activities!$D88&gt;=9))),IF(Activities!$H88="Coaches","🌱 ",IF(Activities!$H88="Coordinators","⚙️ ",IF(Activities!$H88="Both","👥 ","")))&amp;Activities!$B88&amp;CHAR(10)&amp;REPT("●",Activities!$F88),"")</f>
        <v/>
      </c>
      <c r="L87" s="7" t="str">
        <f>IF(AND(Activities!$A88&lt;&gt;"",IF(Activities!$E88&lt;&gt;"",ISNUMBER(SEARCH(",10,",","&amp;Activities!$E88&amp;",")),AND(Activities!$C88&lt;=10,Activities!$D88&gt;=10))),IF(Activities!$H88="Coaches","🌱 ",IF(Activities!$H88="Coordinators","⚙️ ",IF(Activities!$H88="Both","👥 ","")))&amp;Activities!$B88&amp;CHAR(10)&amp;REPT("●",Activities!$F88),"")</f>
        <v/>
      </c>
      <c r="M87" s="7" t="str">
        <f>IF(AND(Activities!$A88&lt;&gt;"",IF(Activities!$E88&lt;&gt;"",ISNUMBER(SEARCH(",11,",","&amp;Activities!$E88&amp;",")),AND(Activities!$C88&lt;=11,Activities!$D88&gt;=11))),IF(Activities!$H88="Coaches","🌱 ",IF(Activities!$H88="Coordinators","⚙️ ",IF(Activities!$H88="Both","👥 ","")))&amp;Activities!$B88&amp;CHAR(10)&amp;REPT("●",Activities!$F88),"")</f>
        <v/>
      </c>
      <c r="N87" s="7" t="str">
        <f>IF(AND(Activities!$A88&lt;&gt;"",IF(Activities!$E88&lt;&gt;"",ISNUMBER(SEARCH(",12,",","&amp;Activities!$E88&amp;",")),AND(Activities!$C88&lt;=12,Activities!$D88&gt;=12))),IF(Activities!$H88="Coaches","🌱 ",IF(Activities!$H88="Coordinators","⚙️ ",IF(Activities!$H88="Both","👥 ","")))&amp;Activities!$B88&amp;CHAR(10)&amp;REPT("●",Activities!$F88),"")</f>
        <v/>
      </c>
    </row>
    <row r="88" spans="1:14" s="8" customFormat="1" ht="20">
      <c r="A88" s="14" t="str">
        <f>IF(Activities!$A89&lt;&gt;"",Activities!$A89,"")</f>
        <v/>
      </c>
      <c r="B88" s="7" t="str">
        <f>IF(Activities!$B89&lt;&gt;"",Activities!$B89,"")</f>
        <v/>
      </c>
      <c r="C88" s="7" t="str">
        <f>IF(AND(Activities!$A89&lt;&gt;"",IF(Activities!$E89&lt;&gt;"",ISNUMBER(SEARCH(",1,",","&amp;Activities!$E89&amp;",")),AND(Activities!$C89&lt;=1,Activities!$D89&gt;=1))),IF(Activities!$H89="Coaches","🌱 ",IF(Activities!$H89="Coordinators","⚙️ ",IF(Activities!$H89="Both","👥 ","")))&amp;Activities!$B89&amp;CHAR(10)&amp;REPT("●",Activities!$F89),"")</f>
        <v/>
      </c>
      <c r="D88" s="7" t="str">
        <f>IF(AND(Activities!$A89&lt;&gt;"",IF(Activities!$E89&lt;&gt;"",ISNUMBER(SEARCH(",2,",","&amp;Activities!$E89&amp;",")),AND(Activities!$C89&lt;=2,Activities!$D89&gt;=2))),IF(Activities!$H89="Coaches","🌱 ",IF(Activities!$H89="Coordinators","⚙️ ",IF(Activities!$H89="Both","👥 ","")))&amp;Activities!$B89&amp;CHAR(10)&amp;REPT("●",Activities!$F89),"")</f>
        <v/>
      </c>
      <c r="E88" s="7" t="str">
        <f>IF(AND(Activities!$A89&lt;&gt;"",IF(Activities!$E89&lt;&gt;"",ISNUMBER(SEARCH(",3,",","&amp;Activities!$E89&amp;",")),AND(Activities!$C89&lt;=3,Activities!$D89&gt;=3))),IF(Activities!$H89="Coaches","🌱 ",IF(Activities!$H89="Coordinators","⚙️ ",IF(Activities!$H89="Both","👥 ","")))&amp;Activities!$B89&amp;CHAR(10)&amp;REPT("●",Activities!$F89),"")</f>
        <v/>
      </c>
      <c r="F88" s="7" t="str">
        <f>IF(AND(Activities!$A89&lt;&gt;"",IF(Activities!$E89&lt;&gt;"",ISNUMBER(SEARCH(",4,",","&amp;Activities!$E89&amp;",")),AND(Activities!$C89&lt;=4,Activities!$D89&gt;=4))),IF(Activities!$H89="Coaches","🌱 ",IF(Activities!$H89="Coordinators","⚙️ ",IF(Activities!$H89="Both","👥 ","")))&amp;Activities!$B89&amp;CHAR(10)&amp;REPT("●",Activities!$F89),"")</f>
        <v/>
      </c>
      <c r="G88" s="7" t="str">
        <f>IF(AND(Activities!$A89&lt;&gt;"",IF(Activities!$E89&lt;&gt;"",ISNUMBER(SEARCH(",5,",","&amp;Activities!$E89&amp;",")),AND(Activities!$C89&lt;=5,Activities!$D89&gt;=5))),IF(Activities!$H89="Coaches","🌱 ",IF(Activities!$H89="Coordinators","⚙️ ",IF(Activities!$H89="Both","👥 ","")))&amp;Activities!$B89&amp;CHAR(10)&amp;REPT("●",Activities!$F89),"")</f>
        <v/>
      </c>
      <c r="H88" s="7" t="str">
        <f>IF(AND(Activities!$A89&lt;&gt;"",IF(Activities!$E89&lt;&gt;"",ISNUMBER(SEARCH(",6,",","&amp;Activities!$E89&amp;",")),AND(Activities!$C89&lt;=6,Activities!$D89&gt;=6))),IF(Activities!$H89="Coaches","🌱 ",IF(Activities!$H89="Coordinators","⚙️ ",IF(Activities!$H89="Both","👥 ","")))&amp;Activities!$B89&amp;CHAR(10)&amp;REPT("●",Activities!$F89),"")</f>
        <v/>
      </c>
      <c r="I88" s="7" t="str">
        <f>IF(AND(Activities!$A89&lt;&gt;"",IF(Activities!$E89&lt;&gt;"",ISNUMBER(SEARCH(",7,",","&amp;Activities!$E89&amp;",")),AND(Activities!$C89&lt;=7,Activities!$D89&gt;=7))),IF(Activities!$H89="Coaches","🌱 ",IF(Activities!$H89="Coordinators","⚙️ ",IF(Activities!$H89="Both","👥 ","")))&amp;Activities!$B89&amp;CHAR(10)&amp;REPT("●",Activities!$F89),"")</f>
        <v/>
      </c>
      <c r="J88" s="7" t="str">
        <f>IF(AND(Activities!$A89&lt;&gt;"",IF(Activities!$E89&lt;&gt;"",ISNUMBER(SEARCH(",8,",","&amp;Activities!$E89&amp;",")),AND(Activities!$C89&lt;=8,Activities!$D89&gt;=8))),IF(Activities!$H89="Coaches","🌱 ",IF(Activities!$H89="Coordinators","⚙️ ",IF(Activities!$H89="Both","👥 ","")))&amp;Activities!$B89&amp;CHAR(10)&amp;REPT("●",Activities!$F89),"")</f>
        <v/>
      </c>
      <c r="K88" s="7" t="str">
        <f>IF(AND(Activities!$A89&lt;&gt;"",IF(Activities!$E89&lt;&gt;"",ISNUMBER(SEARCH(",9,",","&amp;Activities!$E89&amp;",")),AND(Activities!$C89&lt;=9,Activities!$D89&gt;=9))),IF(Activities!$H89="Coaches","🌱 ",IF(Activities!$H89="Coordinators","⚙️ ",IF(Activities!$H89="Both","👥 ","")))&amp;Activities!$B89&amp;CHAR(10)&amp;REPT("●",Activities!$F89),"")</f>
        <v/>
      </c>
      <c r="L88" s="7" t="str">
        <f>IF(AND(Activities!$A89&lt;&gt;"",IF(Activities!$E89&lt;&gt;"",ISNUMBER(SEARCH(",10,",","&amp;Activities!$E89&amp;",")),AND(Activities!$C89&lt;=10,Activities!$D89&gt;=10))),IF(Activities!$H89="Coaches","🌱 ",IF(Activities!$H89="Coordinators","⚙️ ",IF(Activities!$H89="Both","👥 ","")))&amp;Activities!$B89&amp;CHAR(10)&amp;REPT("●",Activities!$F89),"")</f>
        <v/>
      </c>
      <c r="M88" s="7" t="str">
        <f>IF(AND(Activities!$A89&lt;&gt;"",IF(Activities!$E89&lt;&gt;"",ISNUMBER(SEARCH(",11,",","&amp;Activities!$E89&amp;",")),AND(Activities!$C89&lt;=11,Activities!$D89&gt;=11))),IF(Activities!$H89="Coaches","🌱 ",IF(Activities!$H89="Coordinators","⚙️ ",IF(Activities!$H89="Both","👥 ","")))&amp;Activities!$B89&amp;CHAR(10)&amp;REPT("●",Activities!$F89),"")</f>
        <v/>
      </c>
      <c r="N88" s="7" t="str">
        <f>IF(AND(Activities!$A89&lt;&gt;"",IF(Activities!$E89&lt;&gt;"",ISNUMBER(SEARCH(",12,",","&amp;Activities!$E89&amp;",")),AND(Activities!$C89&lt;=12,Activities!$D89&gt;=12))),IF(Activities!$H89="Coaches","🌱 ",IF(Activities!$H89="Coordinators","⚙️ ",IF(Activities!$H89="Both","👥 ","")))&amp;Activities!$B89&amp;CHAR(10)&amp;REPT("●",Activities!$F89),"")</f>
        <v/>
      </c>
    </row>
    <row r="89" spans="1:14" s="8" customFormat="1" ht="20">
      <c r="A89" s="14" t="str">
        <f>IF(Activities!$A90&lt;&gt;"",Activities!$A90,"")</f>
        <v/>
      </c>
      <c r="B89" s="7" t="str">
        <f>IF(Activities!$B90&lt;&gt;"",Activities!$B90,"")</f>
        <v/>
      </c>
      <c r="C89" s="7" t="str">
        <f>IF(AND(Activities!$A90&lt;&gt;"",IF(Activities!$E90&lt;&gt;"",ISNUMBER(SEARCH(",1,",","&amp;Activities!$E90&amp;",")),AND(Activities!$C90&lt;=1,Activities!$D90&gt;=1))),IF(Activities!$H90="Coaches","🌱 ",IF(Activities!$H90="Coordinators","⚙️ ",IF(Activities!$H90="Both","👥 ","")))&amp;Activities!$B90&amp;CHAR(10)&amp;REPT("●",Activities!$F90),"")</f>
        <v/>
      </c>
      <c r="D89" s="7" t="str">
        <f>IF(AND(Activities!$A90&lt;&gt;"",IF(Activities!$E90&lt;&gt;"",ISNUMBER(SEARCH(",2,",","&amp;Activities!$E90&amp;",")),AND(Activities!$C90&lt;=2,Activities!$D90&gt;=2))),IF(Activities!$H90="Coaches","🌱 ",IF(Activities!$H90="Coordinators","⚙️ ",IF(Activities!$H90="Both","👥 ","")))&amp;Activities!$B90&amp;CHAR(10)&amp;REPT("●",Activities!$F90),"")</f>
        <v/>
      </c>
      <c r="E89" s="7" t="str">
        <f>IF(AND(Activities!$A90&lt;&gt;"",IF(Activities!$E90&lt;&gt;"",ISNUMBER(SEARCH(",3,",","&amp;Activities!$E90&amp;",")),AND(Activities!$C90&lt;=3,Activities!$D90&gt;=3))),IF(Activities!$H90="Coaches","🌱 ",IF(Activities!$H90="Coordinators","⚙️ ",IF(Activities!$H90="Both","👥 ","")))&amp;Activities!$B90&amp;CHAR(10)&amp;REPT("●",Activities!$F90),"")</f>
        <v/>
      </c>
      <c r="F89" s="7" t="str">
        <f>IF(AND(Activities!$A90&lt;&gt;"",IF(Activities!$E90&lt;&gt;"",ISNUMBER(SEARCH(",4,",","&amp;Activities!$E90&amp;",")),AND(Activities!$C90&lt;=4,Activities!$D90&gt;=4))),IF(Activities!$H90="Coaches","🌱 ",IF(Activities!$H90="Coordinators","⚙️ ",IF(Activities!$H90="Both","👥 ","")))&amp;Activities!$B90&amp;CHAR(10)&amp;REPT("●",Activities!$F90),"")</f>
        <v/>
      </c>
      <c r="G89" s="7" t="str">
        <f>IF(AND(Activities!$A90&lt;&gt;"",IF(Activities!$E90&lt;&gt;"",ISNUMBER(SEARCH(",5,",","&amp;Activities!$E90&amp;",")),AND(Activities!$C90&lt;=5,Activities!$D90&gt;=5))),IF(Activities!$H90="Coaches","🌱 ",IF(Activities!$H90="Coordinators","⚙️ ",IF(Activities!$H90="Both","👥 ","")))&amp;Activities!$B90&amp;CHAR(10)&amp;REPT("●",Activities!$F90),"")</f>
        <v/>
      </c>
      <c r="H89" s="7" t="str">
        <f>IF(AND(Activities!$A90&lt;&gt;"",IF(Activities!$E90&lt;&gt;"",ISNUMBER(SEARCH(",6,",","&amp;Activities!$E90&amp;",")),AND(Activities!$C90&lt;=6,Activities!$D90&gt;=6))),IF(Activities!$H90="Coaches","🌱 ",IF(Activities!$H90="Coordinators","⚙️ ",IF(Activities!$H90="Both","👥 ","")))&amp;Activities!$B90&amp;CHAR(10)&amp;REPT("●",Activities!$F90),"")</f>
        <v/>
      </c>
      <c r="I89" s="7" t="str">
        <f>IF(AND(Activities!$A90&lt;&gt;"",IF(Activities!$E90&lt;&gt;"",ISNUMBER(SEARCH(",7,",","&amp;Activities!$E90&amp;",")),AND(Activities!$C90&lt;=7,Activities!$D90&gt;=7))),IF(Activities!$H90="Coaches","🌱 ",IF(Activities!$H90="Coordinators","⚙️ ",IF(Activities!$H90="Both","👥 ","")))&amp;Activities!$B90&amp;CHAR(10)&amp;REPT("●",Activities!$F90),"")</f>
        <v/>
      </c>
      <c r="J89" s="7" t="str">
        <f>IF(AND(Activities!$A90&lt;&gt;"",IF(Activities!$E90&lt;&gt;"",ISNUMBER(SEARCH(",8,",","&amp;Activities!$E90&amp;",")),AND(Activities!$C90&lt;=8,Activities!$D90&gt;=8))),IF(Activities!$H90="Coaches","🌱 ",IF(Activities!$H90="Coordinators","⚙️ ",IF(Activities!$H90="Both","👥 ","")))&amp;Activities!$B90&amp;CHAR(10)&amp;REPT("●",Activities!$F90),"")</f>
        <v/>
      </c>
      <c r="K89" s="7" t="str">
        <f>IF(AND(Activities!$A90&lt;&gt;"",IF(Activities!$E90&lt;&gt;"",ISNUMBER(SEARCH(",9,",","&amp;Activities!$E90&amp;",")),AND(Activities!$C90&lt;=9,Activities!$D90&gt;=9))),IF(Activities!$H90="Coaches","🌱 ",IF(Activities!$H90="Coordinators","⚙️ ",IF(Activities!$H90="Both","👥 ","")))&amp;Activities!$B90&amp;CHAR(10)&amp;REPT("●",Activities!$F90),"")</f>
        <v/>
      </c>
      <c r="L89" s="7" t="str">
        <f>IF(AND(Activities!$A90&lt;&gt;"",IF(Activities!$E90&lt;&gt;"",ISNUMBER(SEARCH(",10,",","&amp;Activities!$E90&amp;",")),AND(Activities!$C90&lt;=10,Activities!$D90&gt;=10))),IF(Activities!$H90="Coaches","🌱 ",IF(Activities!$H90="Coordinators","⚙️ ",IF(Activities!$H90="Both","👥 ","")))&amp;Activities!$B90&amp;CHAR(10)&amp;REPT("●",Activities!$F90),"")</f>
        <v/>
      </c>
      <c r="M89" s="7" t="str">
        <f>IF(AND(Activities!$A90&lt;&gt;"",IF(Activities!$E90&lt;&gt;"",ISNUMBER(SEARCH(",11,",","&amp;Activities!$E90&amp;",")),AND(Activities!$C90&lt;=11,Activities!$D90&gt;=11))),IF(Activities!$H90="Coaches","🌱 ",IF(Activities!$H90="Coordinators","⚙️ ",IF(Activities!$H90="Both","👥 ","")))&amp;Activities!$B90&amp;CHAR(10)&amp;REPT("●",Activities!$F90),"")</f>
        <v/>
      </c>
      <c r="N89" s="7" t="str">
        <f>IF(AND(Activities!$A90&lt;&gt;"",IF(Activities!$E90&lt;&gt;"",ISNUMBER(SEARCH(",12,",","&amp;Activities!$E90&amp;",")),AND(Activities!$C90&lt;=12,Activities!$D90&gt;=12))),IF(Activities!$H90="Coaches","🌱 ",IF(Activities!$H90="Coordinators","⚙️ ",IF(Activities!$H90="Both","👥 ","")))&amp;Activities!$B90&amp;CHAR(10)&amp;REPT("●",Activities!$F90),"")</f>
        <v/>
      </c>
    </row>
    <row r="90" spans="1:14" s="8" customFormat="1" ht="20">
      <c r="A90" s="14" t="str">
        <f>IF(Activities!$A91&lt;&gt;"",Activities!$A91,"")</f>
        <v/>
      </c>
      <c r="B90" s="7" t="str">
        <f>IF(Activities!$B91&lt;&gt;"",Activities!$B91,"")</f>
        <v/>
      </c>
      <c r="C90" s="7" t="str">
        <f>IF(AND(Activities!$A91&lt;&gt;"",IF(Activities!$E91&lt;&gt;"",ISNUMBER(SEARCH(",1,",","&amp;Activities!$E91&amp;",")),AND(Activities!$C91&lt;=1,Activities!$D91&gt;=1))),IF(Activities!$H91="Coaches","🌱 ",IF(Activities!$H91="Coordinators","⚙️ ",IF(Activities!$H91="Both","👥 ","")))&amp;Activities!$B91&amp;CHAR(10)&amp;REPT("●",Activities!$F91),"")</f>
        <v/>
      </c>
      <c r="D90" s="7" t="str">
        <f>IF(AND(Activities!$A91&lt;&gt;"",IF(Activities!$E91&lt;&gt;"",ISNUMBER(SEARCH(",2,",","&amp;Activities!$E91&amp;",")),AND(Activities!$C91&lt;=2,Activities!$D91&gt;=2))),IF(Activities!$H91="Coaches","🌱 ",IF(Activities!$H91="Coordinators","⚙️ ",IF(Activities!$H91="Both","👥 ","")))&amp;Activities!$B91&amp;CHAR(10)&amp;REPT("●",Activities!$F91),"")</f>
        <v/>
      </c>
      <c r="E90" s="7" t="str">
        <f>IF(AND(Activities!$A91&lt;&gt;"",IF(Activities!$E91&lt;&gt;"",ISNUMBER(SEARCH(",3,",","&amp;Activities!$E91&amp;",")),AND(Activities!$C91&lt;=3,Activities!$D91&gt;=3))),IF(Activities!$H91="Coaches","🌱 ",IF(Activities!$H91="Coordinators","⚙️ ",IF(Activities!$H91="Both","👥 ","")))&amp;Activities!$B91&amp;CHAR(10)&amp;REPT("●",Activities!$F91),"")</f>
        <v/>
      </c>
      <c r="F90" s="7" t="str">
        <f>IF(AND(Activities!$A91&lt;&gt;"",IF(Activities!$E91&lt;&gt;"",ISNUMBER(SEARCH(",4,",","&amp;Activities!$E91&amp;",")),AND(Activities!$C91&lt;=4,Activities!$D91&gt;=4))),IF(Activities!$H91="Coaches","🌱 ",IF(Activities!$H91="Coordinators","⚙️ ",IF(Activities!$H91="Both","👥 ","")))&amp;Activities!$B91&amp;CHAR(10)&amp;REPT("●",Activities!$F91),"")</f>
        <v/>
      </c>
      <c r="G90" s="7" t="str">
        <f>IF(AND(Activities!$A91&lt;&gt;"",IF(Activities!$E91&lt;&gt;"",ISNUMBER(SEARCH(",5,",","&amp;Activities!$E91&amp;",")),AND(Activities!$C91&lt;=5,Activities!$D91&gt;=5))),IF(Activities!$H91="Coaches","🌱 ",IF(Activities!$H91="Coordinators","⚙️ ",IF(Activities!$H91="Both","👥 ","")))&amp;Activities!$B91&amp;CHAR(10)&amp;REPT("●",Activities!$F91),"")</f>
        <v/>
      </c>
      <c r="H90" s="7" t="str">
        <f>IF(AND(Activities!$A91&lt;&gt;"",IF(Activities!$E91&lt;&gt;"",ISNUMBER(SEARCH(",6,",","&amp;Activities!$E91&amp;",")),AND(Activities!$C91&lt;=6,Activities!$D91&gt;=6))),IF(Activities!$H91="Coaches","🌱 ",IF(Activities!$H91="Coordinators","⚙️ ",IF(Activities!$H91="Both","👥 ","")))&amp;Activities!$B91&amp;CHAR(10)&amp;REPT("●",Activities!$F91),"")</f>
        <v/>
      </c>
      <c r="I90" s="7" t="str">
        <f>IF(AND(Activities!$A91&lt;&gt;"",IF(Activities!$E91&lt;&gt;"",ISNUMBER(SEARCH(",7,",","&amp;Activities!$E91&amp;",")),AND(Activities!$C91&lt;=7,Activities!$D91&gt;=7))),IF(Activities!$H91="Coaches","🌱 ",IF(Activities!$H91="Coordinators","⚙️ ",IF(Activities!$H91="Both","👥 ","")))&amp;Activities!$B91&amp;CHAR(10)&amp;REPT("●",Activities!$F91),"")</f>
        <v/>
      </c>
      <c r="J90" s="7" t="str">
        <f>IF(AND(Activities!$A91&lt;&gt;"",IF(Activities!$E91&lt;&gt;"",ISNUMBER(SEARCH(",8,",","&amp;Activities!$E91&amp;",")),AND(Activities!$C91&lt;=8,Activities!$D91&gt;=8))),IF(Activities!$H91="Coaches","🌱 ",IF(Activities!$H91="Coordinators","⚙️ ",IF(Activities!$H91="Both","👥 ","")))&amp;Activities!$B91&amp;CHAR(10)&amp;REPT("●",Activities!$F91),"")</f>
        <v/>
      </c>
      <c r="K90" s="7" t="str">
        <f>IF(AND(Activities!$A91&lt;&gt;"",IF(Activities!$E91&lt;&gt;"",ISNUMBER(SEARCH(",9,",","&amp;Activities!$E91&amp;",")),AND(Activities!$C91&lt;=9,Activities!$D91&gt;=9))),IF(Activities!$H91="Coaches","🌱 ",IF(Activities!$H91="Coordinators","⚙️ ",IF(Activities!$H91="Both","👥 ","")))&amp;Activities!$B91&amp;CHAR(10)&amp;REPT("●",Activities!$F91),"")</f>
        <v/>
      </c>
      <c r="L90" s="7" t="str">
        <f>IF(AND(Activities!$A91&lt;&gt;"",IF(Activities!$E91&lt;&gt;"",ISNUMBER(SEARCH(",10,",","&amp;Activities!$E91&amp;",")),AND(Activities!$C91&lt;=10,Activities!$D91&gt;=10))),IF(Activities!$H91="Coaches","🌱 ",IF(Activities!$H91="Coordinators","⚙️ ",IF(Activities!$H91="Both","👥 ","")))&amp;Activities!$B91&amp;CHAR(10)&amp;REPT("●",Activities!$F91),"")</f>
        <v/>
      </c>
      <c r="M90" s="7" t="str">
        <f>IF(AND(Activities!$A91&lt;&gt;"",IF(Activities!$E91&lt;&gt;"",ISNUMBER(SEARCH(",11,",","&amp;Activities!$E91&amp;",")),AND(Activities!$C91&lt;=11,Activities!$D91&gt;=11))),IF(Activities!$H91="Coaches","🌱 ",IF(Activities!$H91="Coordinators","⚙️ ",IF(Activities!$H91="Both","👥 ","")))&amp;Activities!$B91&amp;CHAR(10)&amp;REPT("●",Activities!$F91),"")</f>
        <v/>
      </c>
      <c r="N90" s="7" t="str">
        <f>IF(AND(Activities!$A91&lt;&gt;"",IF(Activities!$E91&lt;&gt;"",ISNUMBER(SEARCH(",12,",","&amp;Activities!$E91&amp;",")),AND(Activities!$C91&lt;=12,Activities!$D91&gt;=12))),IF(Activities!$H91="Coaches","🌱 ",IF(Activities!$H91="Coordinators","⚙️ ",IF(Activities!$H91="Both","👥 ","")))&amp;Activities!$B91&amp;CHAR(10)&amp;REPT("●",Activities!$F91),"")</f>
        <v/>
      </c>
    </row>
    <row r="91" spans="1:14" s="8" customFormat="1" ht="20">
      <c r="A91" s="14" t="str">
        <f>IF(Activities!$A92&lt;&gt;"",Activities!$A92,"")</f>
        <v/>
      </c>
      <c r="B91" s="7" t="str">
        <f>IF(Activities!$B92&lt;&gt;"",Activities!$B92,"")</f>
        <v/>
      </c>
      <c r="C91" s="7" t="str">
        <f>IF(AND(Activities!$A92&lt;&gt;"",IF(Activities!$E92&lt;&gt;"",ISNUMBER(SEARCH(",1,",","&amp;Activities!$E92&amp;",")),AND(Activities!$C92&lt;=1,Activities!$D92&gt;=1))),IF(Activities!$H92="Coaches","🌱 ",IF(Activities!$H92="Coordinators","⚙️ ",IF(Activities!$H92="Both","👥 ","")))&amp;Activities!$B92&amp;CHAR(10)&amp;REPT("●",Activities!$F92),"")</f>
        <v/>
      </c>
      <c r="D91" s="7" t="str">
        <f>IF(AND(Activities!$A92&lt;&gt;"",IF(Activities!$E92&lt;&gt;"",ISNUMBER(SEARCH(",2,",","&amp;Activities!$E92&amp;",")),AND(Activities!$C92&lt;=2,Activities!$D92&gt;=2))),IF(Activities!$H92="Coaches","🌱 ",IF(Activities!$H92="Coordinators","⚙️ ",IF(Activities!$H92="Both","👥 ","")))&amp;Activities!$B92&amp;CHAR(10)&amp;REPT("●",Activities!$F92),"")</f>
        <v/>
      </c>
      <c r="E91" s="7" t="str">
        <f>IF(AND(Activities!$A92&lt;&gt;"",IF(Activities!$E92&lt;&gt;"",ISNUMBER(SEARCH(",3,",","&amp;Activities!$E92&amp;",")),AND(Activities!$C92&lt;=3,Activities!$D92&gt;=3))),IF(Activities!$H92="Coaches","🌱 ",IF(Activities!$H92="Coordinators","⚙️ ",IF(Activities!$H92="Both","👥 ","")))&amp;Activities!$B92&amp;CHAR(10)&amp;REPT("●",Activities!$F92),"")</f>
        <v/>
      </c>
      <c r="F91" s="7" t="str">
        <f>IF(AND(Activities!$A92&lt;&gt;"",IF(Activities!$E92&lt;&gt;"",ISNUMBER(SEARCH(",4,",","&amp;Activities!$E92&amp;",")),AND(Activities!$C92&lt;=4,Activities!$D92&gt;=4))),IF(Activities!$H92="Coaches","🌱 ",IF(Activities!$H92="Coordinators","⚙️ ",IF(Activities!$H92="Both","👥 ","")))&amp;Activities!$B92&amp;CHAR(10)&amp;REPT("●",Activities!$F92),"")</f>
        <v/>
      </c>
      <c r="G91" s="7" t="str">
        <f>IF(AND(Activities!$A92&lt;&gt;"",IF(Activities!$E92&lt;&gt;"",ISNUMBER(SEARCH(",5,",","&amp;Activities!$E92&amp;",")),AND(Activities!$C92&lt;=5,Activities!$D92&gt;=5))),IF(Activities!$H92="Coaches","🌱 ",IF(Activities!$H92="Coordinators","⚙️ ",IF(Activities!$H92="Both","👥 ","")))&amp;Activities!$B92&amp;CHAR(10)&amp;REPT("●",Activities!$F92),"")</f>
        <v/>
      </c>
      <c r="H91" s="7" t="str">
        <f>IF(AND(Activities!$A92&lt;&gt;"",IF(Activities!$E92&lt;&gt;"",ISNUMBER(SEARCH(",6,",","&amp;Activities!$E92&amp;",")),AND(Activities!$C92&lt;=6,Activities!$D92&gt;=6))),IF(Activities!$H92="Coaches","🌱 ",IF(Activities!$H92="Coordinators","⚙️ ",IF(Activities!$H92="Both","👥 ","")))&amp;Activities!$B92&amp;CHAR(10)&amp;REPT("●",Activities!$F92),"")</f>
        <v/>
      </c>
      <c r="I91" s="7" t="str">
        <f>IF(AND(Activities!$A92&lt;&gt;"",IF(Activities!$E92&lt;&gt;"",ISNUMBER(SEARCH(",7,",","&amp;Activities!$E92&amp;",")),AND(Activities!$C92&lt;=7,Activities!$D92&gt;=7))),IF(Activities!$H92="Coaches","🌱 ",IF(Activities!$H92="Coordinators","⚙️ ",IF(Activities!$H92="Both","👥 ","")))&amp;Activities!$B92&amp;CHAR(10)&amp;REPT("●",Activities!$F92),"")</f>
        <v/>
      </c>
      <c r="J91" s="7" t="str">
        <f>IF(AND(Activities!$A92&lt;&gt;"",IF(Activities!$E92&lt;&gt;"",ISNUMBER(SEARCH(",8,",","&amp;Activities!$E92&amp;",")),AND(Activities!$C92&lt;=8,Activities!$D92&gt;=8))),IF(Activities!$H92="Coaches","🌱 ",IF(Activities!$H92="Coordinators","⚙️ ",IF(Activities!$H92="Both","👥 ","")))&amp;Activities!$B92&amp;CHAR(10)&amp;REPT("●",Activities!$F92),"")</f>
        <v/>
      </c>
      <c r="K91" s="7" t="str">
        <f>IF(AND(Activities!$A92&lt;&gt;"",IF(Activities!$E92&lt;&gt;"",ISNUMBER(SEARCH(",9,",","&amp;Activities!$E92&amp;",")),AND(Activities!$C92&lt;=9,Activities!$D92&gt;=9))),IF(Activities!$H92="Coaches","🌱 ",IF(Activities!$H92="Coordinators","⚙️ ",IF(Activities!$H92="Both","👥 ","")))&amp;Activities!$B92&amp;CHAR(10)&amp;REPT("●",Activities!$F92),"")</f>
        <v/>
      </c>
      <c r="L91" s="7" t="str">
        <f>IF(AND(Activities!$A92&lt;&gt;"",IF(Activities!$E92&lt;&gt;"",ISNUMBER(SEARCH(",10,",","&amp;Activities!$E92&amp;",")),AND(Activities!$C92&lt;=10,Activities!$D92&gt;=10))),IF(Activities!$H92="Coaches","🌱 ",IF(Activities!$H92="Coordinators","⚙️ ",IF(Activities!$H92="Both","👥 ","")))&amp;Activities!$B92&amp;CHAR(10)&amp;REPT("●",Activities!$F92),"")</f>
        <v/>
      </c>
      <c r="M91" s="7" t="str">
        <f>IF(AND(Activities!$A92&lt;&gt;"",IF(Activities!$E92&lt;&gt;"",ISNUMBER(SEARCH(",11,",","&amp;Activities!$E92&amp;",")),AND(Activities!$C92&lt;=11,Activities!$D92&gt;=11))),IF(Activities!$H92="Coaches","🌱 ",IF(Activities!$H92="Coordinators","⚙️ ",IF(Activities!$H92="Both","👥 ","")))&amp;Activities!$B92&amp;CHAR(10)&amp;REPT("●",Activities!$F92),"")</f>
        <v/>
      </c>
      <c r="N91" s="7" t="str">
        <f>IF(AND(Activities!$A92&lt;&gt;"",IF(Activities!$E92&lt;&gt;"",ISNUMBER(SEARCH(",12,",","&amp;Activities!$E92&amp;",")),AND(Activities!$C92&lt;=12,Activities!$D92&gt;=12))),IF(Activities!$H92="Coaches","🌱 ",IF(Activities!$H92="Coordinators","⚙️ ",IF(Activities!$H92="Both","👥 ","")))&amp;Activities!$B92&amp;CHAR(10)&amp;REPT("●",Activities!$F92),"")</f>
        <v/>
      </c>
    </row>
    <row r="92" spans="1:14" s="8" customFormat="1" ht="20">
      <c r="A92" s="14" t="str">
        <f>IF(Activities!$A93&lt;&gt;"",Activities!$A93,"")</f>
        <v/>
      </c>
      <c r="B92" s="7" t="str">
        <f>IF(Activities!$B93&lt;&gt;"",Activities!$B93,"")</f>
        <v/>
      </c>
      <c r="C92" s="7" t="str">
        <f>IF(AND(Activities!$A93&lt;&gt;"",IF(Activities!$E93&lt;&gt;"",ISNUMBER(SEARCH(",1,",","&amp;Activities!$E93&amp;",")),AND(Activities!$C93&lt;=1,Activities!$D93&gt;=1))),IF(Activities!$H93="Coaches","🌱 ",IF(Activities!$H93="Coordinators","⚙️ ",IF(Activities!$H93="Both","👥 ","")))&amp;Activities!$B93&amp;CHAR(10)&amp;REPT("●",Activities!$F93),"")</f>
        <v/>
      </c>
      <c r="D92" s="7" t="str">
        <f>IF(AND(Activities!$A93&lt;&gt;"",IF(Activities!$E93&lt;&gt;"",ISNUMBER(SEARCH(",2,",","&amp;Activities!$E93&amp;",")),AND(Activities!$C93&lt;=2,Activities!$D93&gt;=2))),IF(Activities!$H93="Coaches","🌱 ",IF(Activities!$H93="Coordinators","⚙️ ",IF(Activities!$H93="Both","👥 ","")))&amp;Activities!$B93&amp;CHAR(10)&amp;REPT("●",Activities!$F93),"")</f>
        <v/>
      </c>
      <c r="E92" s="7" t="str">
        <f>IF(AND(Activities!$A93&lt;&gt;"",IF(Activities!$E93&lt;&gt;"",ISNUMBER(SEARCH(",3,",","&amp;Activities!$E93&amp;",")),AND(Activities!$C93&lt;=3,Activities!$D93&gt;=3))),IF(Activities!$H93="Coaches","🌱 ",IF(Activities!$H93="Coordinators","⚙️ ",IF(Activities!$H93="Both","👥 ","")))&amp;Activities!$B93&amp;CHAR(10)&amp;REPT("●",Activities!$F93),"")</f>
        <v/>
      </c>
      <c r="F92" s="7" t="str">
        <f>IF(AND(Activities!$A93&lt;&gt;"",IF(Activities!$E93&lt;&gt;"",ISNUMBER(SEARCH(",4,",","&amp;Activities!$E93&amp;",")),AND(Activities!$C93&lt;=4,Activities!$D93&gt;=4))),IF(Activities!$H93="Coaches","🌱 ",IF(Activities!$H93="Coordinators","⚙️ ",IF(Activities!$H93="Both","👥 ","")))&amp;Activities!$B93&amp;CHAR(10)&amp;REPT("●",Activities!$F93),"")</f>
        <v/>
      </c>
      <c r="G92" s="7" t="str">
        <f>IF(AND(Activities!$A93&lt;&gt;"",IF(Activities!$E93&lt;&gt;"",ISNUMBER(SEARCH(",5,",","&amp;Activities!$E93&amp;",")),AND(Activities!$C93&lt;=5,Activities!$D93&gt;=5))),IF(Activities!$H93="Coaches","🌱 ",IF(Activities!$H93="Coordinators","⚙️ ",IF(Activities!$H93="Both","👥 ","")))&amp;Activities!$B93&amp;CHAR(10)&amp;REPT("●",Activities!$F93),"")</f>
        <v/>
      </c>
      <c r="H92" s="7" t="str">
        <f>IF(AND(Activities!$A93&lt;&gt;"",IF(Activities!$E93&lt;&gt;"",ISNUMBER(SEARCH(",6,",","&amp;Activities!$E93&amp;",")),AND(Activities!$C93&lt;=6,Activities!$D93&gt;=6))),IF(Activities!$H93="Coaches","🌱 ",IF(Activities!$H93="Coordinators","⚙️ ",IF(Activities!$H93="Both","👥 ","")))&amp;Activities!$B93&amp;CHAR(10)&amp;REPT("●",Activities!$F93),"")</f>
        <v/>
      </c>
      <c r="I92" s="7" t="str">
        <f>IF(AND(Activities!$A93&lt;&gt;"",IF(Activities!$E93&lt;&gt;"",ISNUMBER(SEARCH(",7,",","&amp;Activities!$E93&amp;",")),AND(Activities!$C93&lt;=7,Activities!$D93&gt;=7))),IF(Activities!$H93="Coaches","🌱 ",IF(Activities!$H93="Coordinators","⚙️ ",IF(Activities!$H93="Both","👥 ","")))&amp;Activities!$B93&amp;CHAR(10)&amp;REPT("●",Activities!$F93),"")</f>
        <v/>
      </c>
      <c r="J92" s="7" t="str">
        <f>IF(AND(Activities!$A93&lt;&gt;"",IF(Activities!$E93&lt;&gt;"",ISNUMBER(SEARCH(",8,",","&amp;Activities!$E93&amp;",")),AND(Activities!$C93&lt;=8,Activities!$D93&gt;=8))),IF(Activities!$H93="Coaches","🌱 ",IF(Activities!$H93="Coordinators","⚙️ ",IF(Activities!$H93="Both","👥 ","")))&amp;Activities!$B93&amp;CHAR(10)&amp;REPT("●",Activities!$F93),"")</f>
        <v/>
      </c>
      <c r="K92" s="7" t="str">
        <f>IF(AND(Activities!$A93&lt;&gt;"",IF(Activities!$E93&lt;&gt;"",ISNUMBER(SEARCH(",9,",","&amp;Activities!$E93&amp;",")),AND(Activities!$C93&lt;=9,Activities!$D93&gt;=9))),IF(Activities!$H93="Coaches","🌱 ",IF(Activities!$H93="Coordinators","⚙️ ",IF(Activities!$H93="Both","👥 ","")))&amp;Activities!$B93&amp;CHAR(10)&amp;REPT("●",Activities!$F93),"")</f>
        <v/>
      </c>
      <c r="L92" s="7" t="str">
        <f>IF(AND(Activities!$A93&lt;&gt;"",IF(Activities!$E93&lt;&gt;"",ISNUMBER(SEARCH(",10,",","&amp;Activities!$E93&amp;",")),AND(Activities!$C93&lt;=10,Activities!$D93&gt;=10))),IF(Activities!$H93="Coaches","🌱 ",IF(Activities!$H93="Coordinators","⚙️ ",IF(Activities!$H93="Both","👥 ","")))&amp;Activities!$B93&amp;CHAR(10)&amp;REPT("●",Activities!$F93),"")</f>
        <v/>
      </c>
      <c r="M92" s="7" t="str">
        <f>IF(AND(Activities!$A93&lt;&gt;"",IF(Activities!$E93&lt;&gt;"",ISNUMBER(SEARCH(",11,",","&amp;Activities!$E93&amp;",")),AND(Activities!$C93&lt;=11,Activities!$D93&gt;=11))),IF(Activities!$H93="Coaches","🌱 ",IF(Activities!$H93="Coordinators","⚙️ ",IF(Activities!$H93="Both","👥 ","")))&amp;Activities!$B93&amp;CHAR(10)&amp;REPT("●",Activities!$F93),"")</f>
        <v/>
      </c>
      <c r="N92" s="7" t="str">
        <f>IF(AND(Activities!$A93&lt;&gt;"",IF(Activities!$E93&lt;&gt;"",ISNUMBER(SEARCH(",12,",","&amp;Activities!$E93&amp;",")),AND(Activities!$C93&lt;=12,Activities!$D93&gt;=12))),IF(Activities!$H93="Coaches","🌱 ",IF(Activities!$H93="Coordinators","⚙️ ",IF(Activities!$H93="Both","👥 ","")))&amp;Activities!$B93&amp;CHAR(10)&amp;REPT("●",Activities!$F93),"")</f>
        <v/>
      </c>
    </row>
    <row r="93" spans="1:14" s="8" customFormat="1" ht="20">
      <c r="A93" s="14" t="str">
        <f>IF(Activities!$A94&lt;&gt;"",Activities!$A94,"")</f>
        <v/>
      </c>
      <c r="B93" s="7" t="str">
        <f>IF(Activities!$B94&lt;&gt;"",Activities!$B94,"")</f>
        <v/>
      </c>
      <c r="C93" s="7" t="str">
        <f>IF(AND(Activities!$A94&lt;&gt;"",IF(Activities!$E94&lt;&gt;"",ISNUMBER(SEARCH(",1,",","&amp;Activities!$E94&amp;",")),AND(Activities!$C94&lt;=1,Activities!$D94&gt;=1))),IF(Activities!$H94="Coaches","🌱 ",IF(Activities!$H94="Coordinators","⚙️ ",IF(Activities!$H94="Both","👥 ","")))&amp;Activities!$B94&amp;CHAR(10)&amp;REPT("●",Activities!$F94),"")</f>
        <v/>
      </c>
      <c r="D93" s="7" t="str">
        <f>IF(AND(Activities!$A94&lt;&gt;"",IF(Activities!$E94&lt;&gt;"",ISNUMBER(SEARCH(",2,",","&amp;Activities!$E94&amp;",")),AND(Activities!$C94&lt;=2,Activities!$D94&gt;=2))),IF(Activities!$H94="Coaches","🌱 ",IF(Activities!$H94="Coordinators","⚙️ ",IF(Activities!$H94="Both","👥 ","")))&amp;Activities!$B94&amp;CHAR(10)&amp;REPT("●",Activities!$F94),"")</f>
        <v/>
      </c>
      <c r="E93" s="7" t="str">
        <f>IF(AND(Activities!$A94&lt;&gt;"",IF(Activities!$E94&lt;&gt;"",ISNUMBER(SEARCH(",3,",","&amp;Activities!$E94&amp;",")),AND(Activities!$C94&lt;=3,Activities!$D94&gt;=3))),IF(Activities!$H94="Coaches","🌱 ",IF(Activities!$H94="Coordinators","⚙️ ",IF(Activities!$H94="Both","👥 ","")))&amp;Activities!$B94&amp;CHAR(10)&amp;REPT("●",Activities!$F94),"")</f>
        <v/>
      </c>
      <c r="F93" s="7" t="str">
        <f>IF(AND(Activities!$A94&lt;&gt;"",IF(Activities!$E94&lt;&gt;"",ISNUMBER(SEARCH(",4,",","&amp;Activities!$E94&amp;",")),AND(Activities!$C94&lt;=4,Activities!$D94&gt;=4))),IF(Activities!$H94="Coaches","🌱 ",IF(Activities!$H94="Coordinators","⚙️ ",IF(Activities!$H94="Both","👥 ","")))&amp;Activities!$B94&amp;CHAR(10)&amp;REPT("●",Activities!$F94),"")</f>
        <v/>
      </c>
      <c r="G93" s="7" t="str">
        <f>IF(AND(Activities!$A94&lt;&gt;"",IF(Activities!$E94&lt;&gt;"",ISNUMBER(SEARCH(",5,",","&amp;Activities!$E94&amp;",")),AND(Activities!$C94&lt;=5,Activities!$D94&gt;=5))),IF(Activities!$H94="Coaches","🌱 ",IF(Activities!$H94="Coordinators","⚙️ ",IF(Activities!$H94="Both","👥 ","")))&amp;Activities!$B94&amp;CHAR(10)&amp;REPT("●",Activities!$F94),"")</f>
        <v/>
      </c>
      <c r="H93" s="7" t="str">
        <f>IF(AND(Activities!$A94&lt;&gt;"",IF(Activities!$E94&lt;&gt;"",ISNUMBER(SEARCH(",6,",","&amp;Activities!$E94&amp;",")),AND(Activities!$C94&lt;=6,Activities!$D94&gt;=6))),IF(Activities!$H94="Coaches","🌱 ",IF(Activities!$H94="Coordinators","⚙️ ",IF(Activities!$H94="Both","👥 ","")))&amp;Activities!$B94&amp;CHAR(10)&amp;REPT("●",Activities!$F94),"")</f>
        <v/>
      </c>
      <c r="I93" s="7" t="str">
        <f>IF(AND(Activities!$A94&lt;&gt;"",IF(Activities!$E94&lt;&gt;"",ISNUMBER(SEARCH(",7,",","&amp;Activities!$E94&amp;",")),AND(Activities!$C94&lt;=7,Activities!$D94&gt;=7))),IF(Activities!$H94="Coaches","🌱 ",IF(Activities!$H94="Coordinators","⚙️ ",IF(Activities!$H94="Both","👥 ","")))&amp;Activities!$B94&amp;CHAR(10)&amp;REPT("●",Activities!$F94),"")</f>
        <v/>
      </c>
      <c r="J93" s="7" t="str">
        <f>IF(AND(Activities!$A94&lt;&gt;"",IF(Activities!$E94&lt;&gt;"",ISNUMBER(SEARCH(",8,",","&amp;Activities!$E94&amp;",")),AND(Activities!$C94&lt;=8,Activities!$D94&gt;=8))),IF(Activities!$H94="Coaches","🌱 ",IF(Activities!$H94="Coordinators","⚙️ ",IF(Activities!$H94="Both","👥 ","")))&amp;Activities!$B94&amp;CHAR(10)&amp;REPT("●",Activities!$F94),"")</f>
        <v/>
      </c>
      <c r="K93" s="7" t="str">
        <f>IF(AND(Activities!$A94&lt;&gt;"",IF(Activities!$E94&lt;&gt;"",ISNUMBER(SEARCH(",9,",","&amp;Activities!$E94&amp;",")),AND(Activities!$C94&lt;=9,Activities!$D94&gt;=9))),IF(Activities!$H94="Coaches","🌱 ",IF(Activities!$H94="Coordinators","⚙️ ",IF(Activities!$H94="Both","👥 ","")))&amp;Activities!$B94&amp;CHAR(10)&amp;REPT("●",Activities!$F94),"")</f>
        <v/>
      </c>
      <c r="L93" s="7" t="str">
        <f>IF(AND(Activities!$A94&lt;&gt;"",IF(Activities!$E94&lt;&gt;"",ISNUMBER(SEARCH(",10,",","&amp;Activities!$E94&amp;",")),AND(Activities!$C94&lt;=10,Activities!$D94&gt;=10))),IF(Activities!$H94="Coaches","🌱 ",IF(Activities!$H94="Coordinators","⚙️ ",IF(Activities!$H94="Both","👥 ","")))&amp;Activities!$B94&amp;CHAR(10)&amp;REPT("●",Activities!$F94),"")</f>
        <v/>
      </c>
      <c r="M93" s="7" t="str">
        <f>IF(AND(Activities!$A94&lt;&gt;"",IF(Activities!$E94&lt;&gt;"",ISNUMBER(SEARCH(",11,",","&amp;Activities!$E94&amp;",")),AND(Activities!$C94&lt;=11,Activities!$D94&gt;=11))),IF(Activities!$H94="Coaches","🌱 ",IF(Activities!$H94="Coordinators","⚙️ ",IF(Activities!$H94="Both","👥 ","")))&amp;Activities!$B94&amp;CHAR(10)&amp;REPT("●",Activities!$F94),"")</f>
        <v/>
      </c>
      <c r="N93" s="7" t="str">
        <f>IF(AND(Activities!$A94&lt;&gt;"",IF(Activities!$E94&lt;&gt;"",ISNUMBER(SEARCH(",12,",","&amp;Activities!$E94&amp;",")),AND(Activities!$C94&lt;=12,Activities!$D94&gt;=12))),IF(Activities!$H94="Coaches","🌱 ",IF(Activities!$H94="Coordinators","⚙️ ",IF(Activities!$H94="Both","👥 ","")))&amp;Activities!$B94&amp;CHAR(10)&amp;REPT("●",Activities!$F94),"")</f>
        <v/>
      </c>
    </row>
    <row r="94" spans="1:14" s="8" customFormat="1" ht="20">
      <c r="A94" s="14" t="str">
        <f>IF(Activities!$A95&lt;&gt;"",Activities!$A95,"")</f>
        <v/>
      </c>
      <c r="B94" s="7" t="str">
        <f>IF(Activities!$B95&lt;&gt;"",Activities!$B95,"")</f>
        <v/>
      </c>
      <c r="C94" s="7" t="str">
        <f>IF(AND(Activities!$A95&lt;&gt;"",IF(Activities!$E95&lt;&gt;"",ISNUMBER(SEARCH(",1,",","&amp;Activities!$E95&amp;",")),AND(Activities!$C95&lt;=1,Activities!$D95&gt;=1))),IF(Activities!$H95="Coaches","🌱 ",IF(Activities!$H95="Coordinators","⚙️ ",IF(Activities!$H95="Both","👥 ","")))&amp;Activities!$B95&amp;CHAR(10)&amp;REPT("●",Activities!$F95),"")</f>
        <v/>
      </c>
      <c r="D94" s="7" t="str">
        <f>IF(AND(Activities!$A95&lt;&gt;"",IF(Activities!$E95&lt;&gt;"",ISNUMBER(SEARCH(",2,",","&amp;Activities!$E95&amp;",")),AND(Activities!$C95&lt;=2,Activities!$D95&gt;=2))),IF(Activities!$H95="Coaches","🌱 ",IF(Activities!$H95="Coordinators","⚙️ ",IF(Activities!$H95="Both","👥 ","")))&amp;Activities!$B95&amp;CHAR(10)&amp;REPT("●",Activities!$F95),"")</f>
        <v/>
      </c>
      <c r="E94" s="7" t="str">
        <f>IF(AND(Activities!$A95&lt;&gt;"",IF(Activities!$E95&lt;&gt;"",ISNUMBER(SEARCH(",3,",","&amp;Activities!$E95&amp;",")),AND(Activities!$C95&lt;=3,Activities!$D95&gt;=3))),IF(Activities!$H95="Coaches","🌱 ",IF(Activities!$H95="Coordinators","⚙️ ",IF(Activities!$H95="Both","👥 ","")))&amp;Activities!$B95&amp;CHAR(10)&amp;REPT("●",Activities!$F95),"")</f>
        <v/>
      </c>
      <c r="F94" s="7" t="str">
        <f>IF(AND(Activities!$A95&lt;&gt;"",IF(Activities!$E95&lt;&gt;"",ISNUMBER(SEARCH(",4,",","&amp;Activities!$E95&amp;",")),AND(Activities!$C95&lt;=4,Activities!$D95&gt;=4))),IF(Activities!$H95="Coaches","🌱 ",IF(Activities!$H95="Coordinators","⚙️ ",IF(Activities!$H95="Both","👥 ","")))&amp;Activities!$B95&amp;CHAR(10)&amp;REPT("●",Activities!$F95),"")</f>
        <v/>
      </c>
      <c r="G94" s="7" t="str">
        <f>IF(AND(Activities!$A95&lt;&gt;"",IF(Activities!$E95&lt;&gt;"",ISNUMBER(SEARCH(",5,",","&amp;Activities!$E95&amp;",")),AND(Activities!$C95&lt;=5,Activities!$D95&gt;=5))),IF(Activities!$H95="Coaches","🌱 ",IF(Activities!$H95="Coordinators","⚙️ ",IF(Activities!$H95="Both","👥 ","")))&amp;Activities!$B95&amp;CHAR(10)&amp;REPT("●",Activities!$F95),"")</f>
        <v/>
      </c>
      <c r="H94" s="7" t="str">
        <f>IF(AND(Activities!$A95&lt;&gt;"",IF(Activities!$E95&lt;&gt;"",ISNUMBER(SEARCH(",6,",","&amp;Activities!$E95&amp;",")),AND(Activities!$C95&lt;=6,Activities!$D95&gt;=6))),IF(Activities!$H95="Coaches","🌱 ",IF(Activities!$H95="Coordinators","⚙️ ",IF(Activities!$H95="Both","👥 ","")))&amp;Activities!$B95&amp;CHAR(10)&amp;REPT("●",Activities!$F95),"")</f>
        <v/>
      </c>
      <c r="I94" s="7" t="str">
        <f>IF(AND(Activities!$A95&lt;&gt;"",IF(Activities!$E95&lt;&gt;"",ISNUMBER(SEARCH(",7,",","&amp;Activities!$E95&amp;",")),AND(Activities!$C95&lt;=7,Activities!$D95&gt;=7))),IF(Activities!$H95="Coaches","🌱 ",IF(Activities!$H95="Coordinators","⚙️ ",IF(Activities!$H95="Both","👥 ","")))&amp;Activities!$B95&amp;CHAR(10)&amp;REPT("●",Activities!$F95),"")</f>
        <v/>
      </c>
      <c r="J94" s="7" t="str">
        <f>IF(AND(Activities!$A95&lt;&gt;"",IF(Activities!$E95&lt;&gt;"",ISNUMBER(SEARCH(",8,",","&amp;Activities!$E95&amp;",")),AND(Activities!$C95&lt;=8,Activities!$D95&gt;=8))),IF(Activities!$H95="Coaches","🌱 ",IF(Activities!$H95="Coordinators","⚙️ ",IF(Activities!$H95="Both","👥 ","")))&amp;Activities!$B95&amp;CHAR(10)&amp;REPT("●",Activities!$F95),"")</f>
        <v/>
      </c>
      <c r="K94" s="7" t="str">
        <f>IF(AND(Activities!$A95&lt;&gt;"",IF(Activities!$E95&lt;&gt;"",ISNUMBER(SEARCH(",9,",","&amp;Activities!$E95&amp;",")),AND(Activities!$C95&lt;=9,Activities!$D95&gt;=9))),IF(Activities!$H95="Coaches","🌱 ",IF(Activities!$H95="Coordinators","⚙️ ",IF(Activities!$H95="Both","👥 ","")))&amp;Activities!$B95&amp;CHAR(10)&amp;REPT("●",Activities!$F95),"")</f>
        <v/>
      </c>
      <c r="L94" s="7" t="str">
        <f>IF(AND(Activities!$A95&lt;&gt;"",IF(Activities!$E95&lt;&gt;"",ISNUMBER(SEARCH(",10,",","&amp;Activities!$E95&amp;",")),AND(Activities!$C95&lt;=10,Activities!$D95&gt;=10))),IF(Activities!$H95="Coaches","🌱 ",IF(Activities!$H95="Coordinators","⚙️ ",IF(Activities!$H95="Both","👥 ","")))&amp;Activities!$B95&amp;CHAR(10)&amp;REPT("●",Activities!$F95),"")</f>
        <v/>
      </c>
      <c r="M94" s="7" t="str">
        <f>IF(AND(Activities!$A95&lt;&gt;"",IF(Activities!$E95&lt;&gt;"",ISNUMBER(SEARCH(",11,",","&amp;Activities!$E95&amp;",")),AND(Activities!$C95&lt;=11,Activities!$D95&gt;=11))),IF(Activities!$H95="Coaches","🌱 ",IF(Activities!$H95="Coordinators","⚙️ ",IF(Activities!$H95="Both","👥 ","")))&amp;Activities!$B95&amp;CHAR(10)&amp;REPT("●",Activities!$F95),"")</f>
        <v/>
      </c>
      <c r="N94" s="7" t="str">
        <f>IF(AND(Activities!$A95&lt;&gt;"",IF(Activities!$E95&lt;&gt;"",ISNUMBER(SEARCH(",12,",","&amp;Activities!$E95&amp;",")),AND(Activities!$C95&lt;=12,Activities!$D95&gt;=12))),IF(Activities!$H95="Coaches","🌱 ",IF(Activities!$H95="Coordinators","⚙️ ",IF(Activities!$H95="Both","👥 ","")))&amp;Activities!$B95&amp;CHAR(10)&amp;REPT("●",Activities!$F95),"")</f>
        <v/>
      </c>
    </row>
    <row r="95" spans="1:14" s="8" customFormat="1" ht="20">
      <c r="A95" s="14" t="str">
        <f>IF(Activities!$A96&lt;&gt;"",Activities!$A96,"")</f>
        <v/>
      </c>
      <c r="B95" s="7" t="str">
        <f>IF(Activities!$B96&lt;&gt;"",Activities!$B96,"")</f>
        <v/>
      </c>
      <c r="C95" s="7" t="str">
        <f>IF(AND(Activities!$A96&lt;&gt;"",IF(Activities!$E96&lt;&gt;"",ISNUMBER(SEARCH(",1,",","&amp;Activities!$E96&amp;",")),AND(Activities!$C96&lt;=1,Activities!$D96&gt;=1))),IF(Activities!$H96="Coaches","🌱 ",IF(Activities!$H96="Coordinators","⚙️ ",IF(Activities!$H96="Both","👥 ","")))&amp;Activities!$B96&amp;CHAR(10)&amp;REPT("●",Activities!$F96),"")</f>
        <v/>
      </c>
      <c r="D95" s="7" t="str">
        <f>IF(AND(Activities!$A96&lt;&gt;"",IF(Activities!$E96&lt;&gt;"",ISNUMBER(SEARCH(",2,",","&amp;Activities!$E96&amp;",")),AND(Activities!$C96&lt;=2,Activities!$D96&gt;=2))),IF(Activities!$H96="Coaches","🌱 ",IF(Activities!$H96="Coordinators","⚙️ ",IF(Activities!$H96="Both","👥 ","")))&amp;Activities!$B96&amp;CHAR(10)&amp;REPT("●",Activities!$F96),"")</f>
        <v/>
      </c>
      <c r="E95" s="7" t="str">
        <f>IF(AND(Activities!$A96&lt;&gt;"",IF(Activities!$E96&lt;&gt;"",ISNUMBER(SEARCH(",3,",","&amp;Activities!$E96&amp;",")),AND(Activities!$C96&lt;=3,Activities!$D96&gt;=3))),IF(Activities!$H96="Coaches","🌱 ",IF(Activities!$H96="Coordinators","⚙️ ",IF(Activities!$H96="Both","👥 ","")))&amp;Activities!$B96&amp;CHAR(10)&amp;REPT("●",Activities!$F96),"")</f>
        <v/>
      </c>
      <c r="F95" s="7" t="str">
        <f>IF(AND(Activities!$A96&lt;&gt;"",IF(Activities!$E96&lt;&gt;"",ISNUMBER(SEARCH(",4,",","&amp;Activities!$E96&amp;",")),AND(Activities!$C96&lt;=4,Activities!$D96&gt;=4))),IF(Activities!$H96="Coaches","🌱 ",IF(Activities!$H96="Coordinators","⚙️ ",IF(Activities!$H96="Both","👥 ","")))&amp;Activities!$B96&amp;CHAR(10)&amp;REPT("●",Activities!$F96),"")</f>
        <v/>
      </c>
      <c r="G95" s="7" t="str">
        <f>IF(AND(Activities!$A96&lt;&gt;"",IF(Activities!$E96&lt;&gt;"",ISNUMBER(SEARCH(",5,",","&amp;Activities!$E96&amp;",")),AND(Activities!$C96&lt;=5,Activities!$D96&gt;=5))),IF(Activities!$H96="Coaches","🌱 ",IF(Activities!$H96="Coordinators","⚙️ ",IF(Activities!$H96="Both","👥 ","")))&amp;Activities!$B96&amp;CHAR(10)&amp;REPT("●",Activities!$F96),"")</f>
        <v/>
      </c>
      <c r="H95" s="7" t="str">
        <f>IF(AND(Activities!$A96&lt;&gt;"",IF(Activities!$E96&lt;&gt;"",ISNUMBER(SEARCH(",6,",","&amp;Activities!$E96&amp;",")),AND(Activities!$C96&lt;=6,Activities!$D96&gt;=6))),IF(Activities!$H96="Coaches","🌱 ",IF(Activities!$H96="Coordinators","⚙️ ",IF(Activities!$H96="Both","👥 ","")))&amp;Activities!$B96&amp;CHAR(10)&amp;REPT("●",Activities!$F96),"")</f>
        <v/>
      </c>
      <c r="I95" s="7" t="str">
        <f>IF(AND(Activities!$A96&lt;&gt;"",IF(Activities!$E96&lt;&gt;"",ISNUMBER(SEARCH(",7,",","&amp;Activities!$E96&amp;",")),AND(Activities!$C96&lt;=7,Activities!$D96&gt;=7))),IF(Activities!$H96="Coaches","🌱 ",IF(Activities!$H96="Coordinators","⚙️ ",IF(Activities!$H96="Both","👥 ","")))&amp;Activities!$B96&amp;CHAR(10)&amp;REPT("●",Activities!$F96),"")</f>
        <v/>
      </c>
      <c r="J95" s="7" t="str">
        <f>IF(AND(Activities!$A96&lt;&gt;"",IF(Activities!$E96&lt;&gt;"",ISNUMBER(SEARCH(",8,",","&amp;Activities!$E96&amp;",")),AND(Activities!$C96&lt;=8,Activities!$D96&gt;=8))),IF(Activities!$H96="Coaches","🌱 ",IF(Activities!$H96="Coordinators","⚙️ ",IF(Activities!$H96="Both","👥 ","")))&amp;Activities!$B96&amp;CHAR(10)&amp;REPT("●",Activities!$F96),"")</f>
        <v/>
      </c>
      <c r="K95" s="7" t="str">
        <f>IF(AND(Activities!$A96&lt;&gt;"",IF(Activities!$E96&lt;&gt;"",ISNUMBER(SEARCH(",9,",","&amp;Activities!$E96&amp;",")),AND(Activities!$C96&lt;=9,Activities!$D96&gt;=9))),IF(Activities!$H96="Coaches","🌱 ",IF(Activities!$H96="Coordinators","⚙️ ",IF(Activities!$H96="Both","👥 ","")))&amp;Activities!$B96&amp;CHAR(10)&amp;REPT("●",Activities!$F96),"")</f>
        <v/>
      </c>
      <c r="L95" s="7" t="str">
        <f>IF(AND(Activities!$A96&lt;&gt;"",IF(Activities!$E96&lt;&gt;"",ISNUMBER(SEARCH(",10,",","&amp;Activities!$E96&amp;",")),AND(Activities!$C96&lt;=10,Activities!$D96&gt;=10))),IF(Activities!$H96="Coaches","🌱 ",IF(Activities!$H96="Coordinators","⚙️ ",IF(Activities!$H96="Both","👥 ","")))&amp;Activities!$B96&amp;CHAR(10)&amp;REPT("●",Activities!$F96),"")</f>
        <v/>
      </c>
      <c r="M95" s="7" t="str">
        <f>IF(AND(Activities!$A96&lt;&gt;"",IF(Activities!$E96&lt;&gt;"",ISNUMBER(SEARCH(",11,",","&amp;Activities!$E96&amp;",")),AND(Activities!$C96&lt;=11,Activities!$D96&gt;=11))),IF(Activities!$H96="Coaches","🌱 ",IF(Activities!$H96="Coordinators","⚙️ ",IF(Activities!$H96="Both","👥 ","")))&amp;Activities!$B96&amp;CHAR(10)&amp;REPT("●",Activities!$F96),"")</f>
        <v/>
      </c>
      <c r="N95" s="7" t="str">
        <f>IF(AND(Activities!$A96&lt;&gt;"",IF(Activities!$E96&lt;&gt;"",ISNUMBER(SEARCH(",12,",","&amp;Activities!$E96&amp;",")),AND(Activities!$C96&lt;=12,Activities!$D96&gt;=12))),IF(Activities!$H96="Coaches","🌱 ",IF(Activities!$H96="Coordinators","⚙️ ",IF(Activities!$H96="Both","👥 ","")))&amp;Activities!$B96&amp;CHAR(10)&amp;REPT("●",Activities!$F96),"")</f>
        <v/>
      </c>
    </row>
    <row r="96" spans="1:14" s="8" customFormat="1" ht="20">
      <c r="A96" s="14" t="str">
        <f>IF(Activities!$A97&lt;&gt;"",Activities!$A97,"")</f>
        <v/>
      </c>
      <c r="B96" s="7" t="str">
        <f>IF(Activities!$B97&lt;&gt;"",Activities!$B97,"")</f>
        <v/>
      </c>
      <c r="C96" s="7" t="str">
        <f>IF(AND(Activities!$A97&lt;&gt;"",IF(Activities!$E97&lt;&gt;"",ISNUMBER(SEARCH(",1,",","&amp;Activities!$E97&amp;",")),AND(Activities!$C97&lt;=1,Activities!$D97&gt;=1))),IF(Activities!$H97="Coaches","🌱 ",IF(Activities!$H97="Coordinators","⚙️ ",IF(Activities!$H97="Both","👥 ","")))&amp;Activities!$B97&amp;CHAR(10)&amp;REPT("●",Activities!$F97),"")</f>
        <v/>
      </c>
      <c r="D96" s="7" t="str">
        <f>IF(AND(Activities!$A97&lt;&gt;"",IF(Activities!$E97&lt;&gt;"",ISNUMBER(SEARCH(",2,",","&amp;Activities!$E97&amp;",")),AND(Activities!$C97&lt;=2,Activities!$D97&gt;=2))),IF(Activities!$H97="Coaches","🌱 ",IF(Activities!$H97="Coordinators","⚙️ ",IF(Activities!$H97="Both","👥 ","")))&amp;Activities!$B97&amp;CHAR(10)&amp;REPT("●",Activities!$F97),"")</f>
        <v/>
      </c>
      <c r="E96" s="7" t="str">
        <f>IF(AND(Activities!$A97&lt;&gt;"",IF(Activities!$E97&lt;&gt;"",ISNUMBER(SEARCH(",3,",","&amp;Activities!$E97&amp;",")),AND(Activities!$C97&lt;=3,Activities!$D97&gt;=3))),IF(Activities!$H97="Coaches","🌱 ",IF(Activities!$H97="Coordinators","⚙️ ",IF(Activities!$H97="Both","👥 ","")))&amp;Activities!$B97&amp;CHAR(10)&amp;REPT("●",Activities!$F97),"")</f>
        <v/>
      </c>
      <c r="F96" s="7" t="str">
        <f>IF(AND(Activities!$A97&lt;&gt;"",IF(Activities!$E97&lt;&gt;"",ISNUMBER(SEARCH(",4,",","&amp;Activities!$E97&amp;",")),AND(Activities!$C97&lt;=4,Activities!$D97&gt;=4))),IF(Activities!$H97="Coaches","🌱 ",IF(Activities!$H97="Coordinators","⚙️ ",IF(Activities!$H97="Both","👥 ","")))&amp;Activities!$B97&amp;CHAR(10)&amp;REPT("●",Activities!$F97),"")</f>
        <v/>
      </c>
      <c r="G96" s="7" t="str">
        <f>IF(AND(Activities!$A97&lt;&gt;"",IF(Activities!$E97&lt;&gt;"",ISNUMBER(SEARCH(",5,",","&amp;Activities!$E97&amp;",")),AND(Activities!$C97&lt;=5,Activities!$D97&gt;=5))),IF(Activities!$H97="Coaches","🌱 ",IF(Activities!$H97="Coordinators","⚙️ ",IF(Activities!$H97="Both","👥 ","")))&amp;Activities!$B97&amp;CHAR(10)&amp;REPT("●",Activities!$F97),"")</f>
        <v/>
      </c>
      <c r="H96" s="7" t="str">
        <f>IF(AND(Activities!$A97&lt;&gt;"",IF(Activities!$E97&lt;&gt;"",ISNUMBER(SEARCH(",6,",","&amp;Activities!$E97&amp;",")),AND(Activities!$C97&lt;=6,Activities!$D97&gt;=6))),IF(Activities!$H97="Coaches","🌱 ",IF(Activities!$H97="Coordinators","⚙️ ",IF(Activities!$H97="Both","👥 ","")))&amp;Activities!$B97&amp;CHAR(10)&amp;REPT("●",Activities!$F97),"")</f>
        <v/>
      </c>
      <c r="I96" s="7" t="str">
        <f>IF(AND(Activities!$A97&lt;&gt;"",IF(Activities!$E97&lt;&gt;"",ISNUMBER(SEARCH(",7,",","&amp;Activities!$E97&amp;",")),AND(Activities!$C97&lt;=7,Activities!$D97&gt;=7))),IF(Activities!$H97="Coaches","🌱 ",IF(Activities!$H97="Coordinators","⚙️ ",IF(Activities!$H97="Both","👥 ","")))&amp;Activities!$B97&amp;CHAR(10)&amp;REPT("●",Activities!$F97),"")</f>
        <v/>
      </c>
      <c r="J96" s="7" t="str">
        <f>IF(AND(Activities!$A97&lt;&gt;"",IF(Activities!$E97&lt;&gt;"",ISNUMBER(SEARCH(",8,",","&amp;Activities!$E97&amp;",")),AND(Activities!$C97&lt;=8,Activities!$D97&gt;=8))),IF(Activities!$H97="Coaches","🌱 ",IF(Activities!$H97="Coordinators","⚙️ ",IF(Activities!$H97="Both","👥 ","")))&amp;Activities!$B97&amp;CHAR(10)&amp;REPT("●",Activities!$F97),"")</f>
        <v/>
      </c>
      <c r="K96" s="7" t="str">
        <f>IF(AND(Activities!$A97&lt;&gt;"",IF(Activities!$E97&lt;&gt;"",ISNUMBER(SEARCH(",9,",","&amp;Activities!$E97&amp;",")),AND(Activities!$C97&lt;=9,Activities!$D97&gt;=9))),IF(Activities!$H97="Coaches","🌱 ",IF(Activities!$H97="Coordinators","⚙️ ",IF(Activities!$H97="Both","👥 ","")))&amp;Activities!$B97&amp;CHAR(10)&amp;REPT("●",Activities!$F97),"")</f>
        <v/>
      </c>
      <c r="L96" s="7" t="str">
        <f>IF(AND(Activities!$A97&lt;&gt;"",IF(Activities!$E97&lt;&gt;"",ISNUMBER(SEARCH(",10,",","&amp;Activities!$E97&amp;",")),AND(Activities!$C97&lt;=10,Activities!$D97&gt;=10))),IF(Activities!$H97="Coaches","🌱 ",IF(Activities!$H97="Coordinators","⚙️ ",IF(Activities!$H97="Both","👥 ","")))&amp;Activities!$B97&amp;CHAR(10)&amp;REPT("●",Activities!$F97),"")</f>
        <v/>
      </c>
      <c r="M96" s="7" t="str">
        <f>IF(AND(Activities!$A97&lt;&gt;"",IF(Activities!$E97&lt;&gt;"",ISNUMBER(SEARCH(",11,",","&amp;Activities!$E97&amp;",")),AND(Activities!$C97&lt;=11,Activities!$D97&gt;=11))),IF(Activities!$H97="Coaches","🌱 ",IF(Activities!$H97="Coordinators","⚙️ ",IF(Activities!$H97="Both","👥 ","")))&amp;Activities!$B97&amp;CHAR(10)&amp;REPT("●",Activities!$F97),"")</f>
        <v/>
      </c>
      <c r="N96" s="7" t="str">
        <f>IF(AND(Activities!$A97&lt;&gt;"",IF(Activities!$E97&lt;&gt;"",ISNUMBER(SEARCH(",12,",","&amp;Activities!$E97&amp;",")),AND(Activities!$C97&lt;=12,Activities!$D97&gt;=12))),IF(Activities!$H97="Coaches","🌱 ",IF(Activities!$H97="Coordinators","⚙️ ",IF(Activities!$H97="Both","👥 ","")))&amp;Activities!$B97&amp;CHAR(10)&amp;REPT("●",Activities!$F97),"")</f>
        <v/>
      </c>
    </row>
    <row r="97" spans="1:14" s="8" customFormat="1" ht="20">
      <c r="A97" s="14" t="str">
        <f>IF(Activities!$A98&lt;&gt;"",Activities!$A98,"")</f>
        <v/>
      </c>
      <c r="B97" s="7" t="str">
        <f>IF(Activities!$B98&lt;&gt;"",Activities!$B98,"")</f>
        <v/>
      </c>
      <c r="C97" s="7" t="str">
        <f>IF(AND(Activities!$A98&lt;&gt;"",IF(Activities!$E98&lt;&gt;"",ISNUMBER(SEARCH(",1,",","&amp;Activities!$E98&amp;",")),AND(Activities!$C98&lt;=1,Activities!$D98&gt;=1))),IF(Activities!$H98="Coaches","🌱 ",IF(Activities!$H98="Coordinators","⚙️ ",IF(Activities!$H98="Both","👥 ","")))&amp;Activities!$B98&amp;CHAR(10)&amp;REPT("●",Activities!$F98),"")</f>
        <v/>
      </c>
      <c r="D97" s="7" t="str">
        <f>IF(AND(Activities!$A98&lt;&gt;"",IF(Activities!$E98&lt;&gt;"",ISNUMBER(SEARCH(",2,",","&amp;Activities!$E98&amp;",")),AND(Activities!$C98&lt;=2,Activities!$D98&gt;=2))),IF(Activities!$H98="Coaches","🌱 ",IF(Activities!$H98="Coordinators","⚙️ ",IF(Activities!$H98="Both","👥 ","")))&amp;Activities!$B98&amp;CHAR(10)&amp;REPT("●",Activities!$F98),"")</f>
        <v/>
      </c>
      <c r="E97" s="7" t="str">
        <f>IF(AND(Activities!$A98&lt;&gt;"",IF(Activities!$E98&lt;&gt;"",ISNUMBER(SEARCH(",3,",","&amp;Activities!$E98&amp;",")),AND(Activities!$C98&lt;=3,Activities!$D98&gt;=3))),IF(Activities!$H98="Coaches","🌱 ",IF(Activities!$H98="Coordinators","⚙️ ",IF(Activities!$H98="Both","👥 ","")))&amp;Activities!$B98&amp;CHAR(10)&amp;REPT("●",Activities!$F98),"")</f>
        <v/>
      </c>
      <c r="F97" s="7" t="str">
        <f>IF(AND(Activities!$A98&lt;&gt;"",IF(Activities!$E98&lt;&gt;"",ISNUMBER(SEARCH(",4,",","&amp;Activities!$E98&amp;",")),AND(Activities!$C98&lt;=4,Activities!$D98&gt;=4))),IF(Activities!$H98="Coaches","🌱 ",IF(Activities!$H98="Coordinators","⚙️ ",IF(Activities!$H98="Both","👥 ","")))&amp;Activities!$B98&amp;CHAR(10)&amp;REPT("●",Activities!$F98),"")</f>
        <v/>
      </c>
      <c r="G97" s="7" t="str">
        <f>IF(AND(Activities!$A98&lt;&gt;"",IF(Activities!$E98&lt;&gt;"",ISNUMBER(SEARCH(",5,",","&amp;Activities!$E98&amp;",")),AND(Activities!$C98&lt;=5,Activities!$D98&gt;=5))),IF(Activities!$H98="Coaches","🌱 ",IF(Activities!$H98="Coordinators","⚙️ ",IF(Activities!$H98="Both","👥 ","")))&amp;Activities!$B98&amp;CHAR(10)&amp;REPT("●",Activities!$F98),"")</f>
        <v/>
      </c>
      <c r="H97" s="7" t="str">
        <f>IF(AND(Activities!$A98&lt;&gt;"",IF(Activities!$E98&lt;&gt;"",ISNUMBER(SEARCH(",6,",","&amp;Activities!$E98&amp;",")),AND(Activities!$C98&lt;=6,Activities!$D98&gt;=6))),IF(Activities!$H98="Coaches","🌱 ",IF(Activities!$H98="Coordinators","⚙️ ",IF(Activities!$H98="Both","👥 ","")))&amp;Activities!$B98&amp;CHAR(10)&amp;REPT("●",Activities!$F98),"")</f>
        <v/>
      </c>
      <c r="I97" s="7" t="str">
        <f>IF(AND(Activities!$A98&lt;&gt;"",IF(Activities!$E98&lt;&gt;"",ISNUMBER(SEARCH(",7,",","&amp;Activities!$E98&amp;",")),AND(Activities!$C98&lt;=7,Activities!$D98&gt;=7))),IF(Activities!$H98="Coaches","🌱 ",IF(Activities!$H98="Coordinators","⚙️ ",IF(Activities!$H98="Both","👥 ","")))&amp;Activities!$B98&amp;CHAR(10)&amp;REPT("●",Activities!$F98),"")</f>
        <v/>
      </c>
      <c r="J97" s="7" t="str">
        <f>IF(AND(Activities!$A98&lt;&gt;"",IF(Activities!$E98&lt;&gt;"",ISNUMBER(SEARCH(",8,",","&amp;Activities!$E98&amp;",")),AND(Activities!$C98&lt;=8,Activities!$D98&gt;=8))),IF(Activities!$H98="Coaches","🌱 ",IF(Activities!$H98="Coordinators","⚙️ ",IF(Activities!$H98="Both","👥 ","")))&amp;Activities!$B98&amp;CHAR(10)&amp;REPT("●",Activities!$F98),"")</f>
        <v/>
      </c>
      <c r="K97" s="7" t="str">
        <f>IF(AND(Activities!$A98&lt;&gt;"",IF(Activities!$E98&lt;&gt;"",ISNUMBER(SEARCH(",9,",","&amp;Activities!$E98&amp;",")),AND(Activities!$C98&lt;=9,Activities!$D98&gt;=9))),IF(Activities!$H98="Coaches","🌱 ",IF(Activities!$H98="Coordinators","⚙️ ",IF(Activities!$H98="Both","👥 ","")))&amp;Activities!$B98&amp;CHAR(10)&amp;REPT("●",Activities!$F98),"")</f>
        <v/>
      </c>
      <c r="L97" s="7" t="str">
        <f>IF(AND(Activities!$A98&lt;&gt;"",IF(Activities!$E98&lt;&gt;"",ISNUMBER(SEARCH(",10,",","&amp;Activities!$E98&amp;",")),AND(Activities!$C98&lt;=10,Activities!$D98&gt;=10))),IF(Activities!$H98="Coaches","🌱 ",IF(Activities!$H98="Coordinators","⚙️ ",IF(Activities!$H98="Both","👥 ","")))&amp;Activities!$B98&amp;CHAR(10)&amp;REPT("●",Activities!$F98),"")</f>
        <v/>
      </c>
      <c r="M97" s="7" t="str">
        <f>IF(AND(Activities!$A98&lt;&gt;"",IF(Activities!$E98&lt;&gt;"",ISNUMBER(SEARCH(",11,",","&amp;Activities!$E98&amp;",")),AND(Activities!$C98&lt;=11,Activities!$D98&gt;=11))),IF(Activities!$H98="Coaches","🌱 ",IF(Activities!$H98="Coordinators","⚙️ ",IF(Activities!$H98="Both","👥 ","")))&amp;Activities!$B98&amp;CHAR(10)&amp;REPT("●",Activities!$F98),"")</f>
        <v/>
      </c>
      <c r="N97" s="7" t="str">
        <f>IF(AND(Activities!$A98&lt;&gt;"",IF(Activities!$E98&lt;&gt;"",ISNUMBER(SEARCH(",12,",","&amp;Activities!$E98&amp;",")),AND(Activities!$C98&lt;=12,Activities!$D98&gt;=12))),IF(Activities!$H98="Coaches","🌱 ",IF(Activities!$H98="Coordinators","⚙️ ",IF(Activities!$H98="Both","👥 ","")))&amp;Activities!$B98&amp;CHAR(10)&amp;REPT("●",Activities!$F98),"")</f>
        <v/>
      </c>
    </row>
    <row r="98" spans="1:14" s="8" customFormat="1" ht="20">
      <c r="A98" s="14" t="str">
        <f>IF(Activities!$A99&lt;&gt;"",Activities!$A99,"")</f>
        <v/>
      </c>
      <c r="B98" s="7" t="str">
        <f>IF(Activities!$B99&lt;&gt;"",Activities!$B99,"")</f>
        <v/>
      </c>
      <c r="C98" s="7" t="str">
        <f>IF(AND(Activities!$A99&lt;&gt;"",IF(Activities!$E99&lt;&gt;"",ISNUMBER(SEARCH(",1,",","&amp;Activities!$E99&amp;",")),AND(Activities!$C99&lt;=1,Activities!$D99&gt;=1))),IF(Activities!$H99="Coaches","🌱 ",IF(Activities!$H99="Coordinators","⚙️ ",IF(Activities!$H99="Both","👥 ","")))&amp;Activities!$B99&amp;CHAR(10)&amp;REPT("●",Activities!$F99),"")</f>
        <v/>
      </c>
      <c r="D98" s="7" t="str">
        <f>IF(AND(Activities!$A99&lt;&gt;"",IF(Activities!$E99&lt;&gt;"",ISNUMBER(SEARCH(",2,",","&amp;Activities!$E99&amp;",")),AND(Activities!$C99&lt;=2,Activities!$D99&gt;=2))),IF(Activities!$H99="Coaches","🌱 ",IF(Activities!$H99="Coordinators","⚙️ ",IF(Activities!$H99="Both","👥 ","")))&amp;Activities!$B99&amp;CHAR(10)&amp;REPT("●",Activities!$F99),"")</f>
        <v/>
      </c>
      <c r="E98" s="7" t="str">
        <f>IF(AND(Activities!$A99&lt;&gt;"",IF(Activities!$E99&lt;&gt;"",ISNUMBER(SEARCH(",3,",","&amp;Activities!$E99&amp;",")),AND(Activities!$C99&lt;=3,Activities!$D99&gt;=3))),IF(Activities!$H99="Coaches","🌱 ",IF(Activities!$H99="Coordinators","⚙️ ",IF(Activities!$H99="Both","👥 ","")))&amp;Activities!$B99&amp;CHAR(10)&amp;REPT("●",Activities!$F99),"")</f>
        <v/>
      </c>
      <c r="F98" s="7" t="str">
        <f>IF(AND(Activities!$A99&lt;&gt;"",IF(Activities!$E99&lt;&gt;"",ISNUMBER(SEARCH(",4,",","&amp;Activities!$E99&amp;",")),AND(Activities!$C99&lt;=4,Activities!$D99&gt;=4))),IF(Activities!$H99="Coaches","🌱 ",IF(Activities!$H99="Coordinators","⚙️ ",IF(Activities!$H99="Both","👥 ","")))&amp;Activities!$B99&amp;CHAR(10)&amp;REPT("●",Activities!$F99),"")</f>
        <v/>
      </c>
      <c r="G98" s="7" t="str">
        <f>IF(AND(Activities!$A99&lt;&gt;"",IF(Activities!$E99&lt;&gt;"",ISNUMBER(SEARCH(",5,",","&amp;Activities!$E99&amp;",")),AND(Activities!$C99&lt;=5,Activities!$D99&gt;=5))),IF(Activities!$H99="Coaches","🌱 ",IF(Activities!$H99="Coordinators","⚙️ ",IF(Activities!$H99="Both","👥 ","")))&amp;Activities!$B99&amp;CHAR(10)&amp;REPT("●",Activities!$F99),"")</f>
        <v/>
      </c>
      <c r="H98" s="7" t="str">
        <f>IF(AND(Activities!$A99&lt;&gt;"",IF(Activities!$E99&lt;&gt;"",ISNUMBER(SEARCH(",6,",","&amp;Activities!$E99&amp;",")),AND(Activities!$C99&lt;=6,Activities!$D99&gt;=6))),IF(Activities!$H99="Coaches","🌱 ",IF(Activities!$H99="Coordinators","⚙️ ",IF(Activities!$H99="Both","👥 ","")))&amp;Activities!$B99&amp;CHAR(10)&amp;REPT("●",Activities!$F99),"")</f>
        <v/>
      </c>
      <c r="I98" s="7" t="str">
        <f>IF(AND(Activities!$A99&lt;&gt;"",IF(Activities!$E99&lt;&gt;"",ISNUMBER(SEARCH(",7,",","&amp;Activities!$E99&amp;",")),AND(Activities!$C99&lt;=7,Activities!$D99&gt;=7))),IF(Activities!$H99="Coaches","🌱 ",IF(Activities!$H99="Coordinators","⚙️ ",IF(Activities!$H99="Both","👥 ","")))&amp;Activities!$B99&amp;CHAR(10)&amp;REPT("●",Activities!$F99),"")</f>
        <v/>
      </c>
      <c r="J98" s="7" t="str">
        <f>IF(AND(Activities!$A99&lt;&gt;"",IF(Activities!$E99&lt;&gt;"",ISNUMBER(SEARCH(",8,",","&amp;Activities!$E99&amp;",")),AND(Activities!$C99&lt;=8,Activities!$D99&gt;=8))),IF(Activities!$H99="Coaches","🌱 ",IF(Activities!$H99="Coordinators","⚙️ ",IF(Activities!$H99="Both","👥 ","")))&amp;Activities!$B99&amp;CHAR(10)&amp;REPT("●",Activities!$F99),"")</f>
        <v/>
      </c>
      <c r="K98" s="7" t="str">
        <f>IF(AND(Activities!$A99&lt;&gt;"",IF(Activities!$E99&lt;&gt;"",ISNUMBER(SEARCH(",9,",","&amp;Activities!$E99&amp;",")),AND(Activities!$C99&lt;=9,Activities!$D99&gt;=9))),IF(Activities!$H99="Coaches","🌱 ",IF(Activities!$H99="Coordinators","⚙️ ",IF(Activities!$H99="Both","👥 ","")))&amp;Activities!$B99&amp;CHAR(10)&amp;REPT("●",Activities!$F99),"")</f>
        <v/>
      </c>
      <c r="L98" s="7" t="str">
        <f>IF(AND(Activities!$A99&lt;&gt;"",IF(Activities!$E99&lt;&gt;"",ISNUMBER(SEARCH(",10,",","&amp;Activities!$E99&amp;",")),AND(Activities!$C99&lt;=10,Activities!$D99&gt;=10))),IF(Activities!$H99="Coaches","🌱 ",IF(Activities!$H99="Coordinators","⚙️ ",IF(Activities!$H99="Both","👥 ","")))&amp;Activities!$B99&amp;CHAR(10)&amp;REPT("●",Activities!$F99),"")</f>
        <v/>
      </c>
      <c r="M98" s="7" t="str">
        <f>IF(AND(Activities!$A99&lt;&gt;"",IF(Activities!$E99&lt;&gt;"",ISNUMBER(SEARCH(",11,",","&amp;Activities!$E99&amp;",")),AND(Activities!$C99&lt;=11,Activities!$D99&gt;=11))),IF(Activities!$H99="Coaches","🌱 ",IF(Activities!$H99="Coordinators","⚙️ ",IF(Activities!$H99="Both","👥 ","")))&amp;Activities!$B99&amp;CHAR(10)&amp;REPT("●",Activities!$F99),"")</f>
        <v/>
      </c>
      <c r="N98" s="7" t="str">
        <f>IF(AND(Activities!$A99&lt;&gt;"",IF(Activities!$E99&lt;&gt;"",ISNUMBER(SEARCH(",12,",","&amp;Activities!$E99&amp;",")),AND(Activities!$C99&lt;=12,Activities!$D99&gt;=12))),IF(Activities!$H99="Coaches","🌱 ",IF(Activities!$H99="Coordinators","⚙️ ",IF(Activities!$H99="Both","👥 ","")))&amp;Activities!$B99&amp;CHAR(10)&amp;REPT("●",Activities!$F99),"")</f>
        <v/>
      </c>
    </row>
    <row r="99" spans="1:14" s="8" customFormat="1" ht="20">
      <c r="A99" s="14" t="str">
        <f>IF(Activities!$A100&lt;&gt;"",Activities!$A100,"")</f>
        <v/>
      </c>
      <c r="B99" s="7" t="str">
        <f>IF(Activities!$B100&lt;&gt;"",Activities!$B100,"")</f>
        <v/>
      </c>
      <c r="C99" s="7" t="str">
        <f>IF(AND(Activities!$A100&lt;&gt;"",IF(Activities!$E100&lt;&gt;"",ISNUMBER(SEARCH(",1,",","&amp;Activities!$E100&amp;",")),AND(Activities!$C100&lt;=1,Activities!$D100&gt;=1))),IF(Activities!$H100="Coaches","🌱 ",IF(Activities!$H100="Coordinators","⚙️ ",IF(Activities!$H100="Both","👥 ","")))&amp;Activities!$B100&amp;CHAR(10)&amp;REPT("●",Activities!$F100),"")</f>
        <v/>
      </c>
      <c r="D99" s="7" t="str">
        <f>IF(AND(Activities!$A100&lt;&gt;"",IF(Activities!$E100&lt;&gt;"",ISNUMBER(SEARCH(",2,",","&amp;Activities!$E100&amp;",")),AND(Activities!$C100&lt;=2,Activities!$D100&gt;=2))),IF(Activities!$H100="Coaches","🌱 ",IF(Activities!$H100="Coordinators","⚙️ ",IF(Activities!$H100="Both","👥 ","")))&amp;Activities!$B100&amp;CHAR(10)&amp;REPT("●",Activities!$F100),"")</f>
        <v/>
      </c>
      <c r="E99" s="7" t="str">
        <f>IF(AND(Activities!$A100&lt;&gt;"",IF(Activities!$E100&lt;&gt;"",ISNUMBER(SEARCH(",3,",","&amp;Activities!$E100&amp;",")),AND(Activities!$C100&lt;=3,Activities!$D100&gt;=3))),IF(Activities!$H100="Coaches","🌱 ",IF(Activities!$H100="Coordinators","⚙️ ",IF(Activities!$H100="Both","👥 ","")))&amp;Activities!$B100&amp;CHAR(10)&amp;REPT("●",Activities!$F100),"")</f>
        <v/>
      </c>
      <c r="F99" s="7" t="str">
        <f>IF(AND(Activities!$A100&lt;&gt;"",IF(Activities!$E100&lt;&gt;"",ISNUMBER(SEARCH(",4,",","&amp;Activities!$E100&amp;",")),AND(Activities!$C100&lt;=4,Activities!$D100&gt;=4))),IF(Activities!$H100="Coaches","🌱 ",IF(Activities!$H100="Coordinators","⚙️ ",IF(Activities!$H100="Both","👥 ","")))&amp;Activities!$B100&amp;CHAR(10)&amp;REPT("●",Activities!$F100),"")</f>
        <v/>
      </c>
      <c r="G99" s="7" t="str">
        <f>IF(AND(Activities!$A100&lt;&gt;"",IF(Activities!$E100&lt;&gt;"",ISNUMBER(SEARCH(",5,",","&amp;Activities!$E100&amp;",")),AND(Activities!$C100&lt;=5,Activities!$D100&gt;=5))),IF(Activities!$H100="Coaches","🌱 ",IF(Activities!$H100="Coordinators","⚙️ ",IF(Activities!$H100="Both","👥 ","")))&amp;Activities!$B100&amp;CHAR(10)&amp;REPT("●",Activities!$F100),"")</f>
        <v/>
      </c>
      <c r="H99" s="7" t="str">
        <f>IF(AND(Activities!$A100&lt;&gt;"",IF(Activities!$E100&lt;&gt;"",ISNUMBER(SEARCH(",6,",","&amp;Activities!$E100&amp;",")),AND(Activities!$C100&lt;=6,Activities!$D100&gt;=6))),IF(Activities!$H100="Coaches","🌱 ",IF(Activities!$H100="Coordinators","⚙️ ",IF(Activities!$H100="Both","👥 ","")))&amp;Activities!$B100&amp;CHAR(10)&amp;REPT("●",Activities!$F100),"")</f>
        <v/>
      </c>
      <c r="I99" s="7" t="str">
        <f>IF(AND(Activities!$A100&lt;&gt;"",IF(Activities!$E100&lt;&gt;"",ISNUMBER(SEARCH(",7,",","&amp;Activities!$E100&amp;",")),AND(Activities!$C100&lt;=7,Activities!$D100&gt;=7))),IF(Activities!$H100="Coaches","🌱 ",IF(Activities!$H100="Coordinators","⚙️ ",IF(Activities!$H100="Both","👥 ","")))&amp;Activities!$B100&amp;CHAR(10)&amp;REPT("●",Activities!$F100),"")</f>
        <v/>
      </c>
      <c r="J99" s="7" t="str">
        <f>IF(AND(Activities!$A100&lt;&gt;"",IF(Activities!$E100&lt;&gt;"",ISNUMBER(SEARCH(",8,",","&amp;Activities!$E100&amp;",")),AND(Activities!$C100&lt;=8,Activities!$D100&gt;=8))),IF(Activities!$H100="Coaches","🌱 ",IF(Activities!$H100="Coordinators","⚙️ ",IF(Activities!$H100="Both","👥 ","")))&amp;Activities!$B100&amp;CHAR(10)&amp;REPT("●",Activities!$F100),"")</f>
        <v/>
      </c>
      <c r="K99" s="7" t="str">
        <f>IF(AND(Activities!$A100&lt;&gt;"",IF(Activities!$E100&lt;&gt;"",ISNUMBER(SEARCH(",9,",","&amp;Activities!$E100&amp;",")),AND(Activities!$C100&lt;=9,Activities!$D100&gt;=9))),IF(Activities!$H100="Coaches","🌱 ",IF(Activities!$H100="Coordinators","⚙️ ",IF(Activities!$H100="Both","👥 ","")))&amp;Activities!$B100&amp;CHAR(10)&amp;REPT("●",Activities!$F100),"")</f>
        <v/>
      </c>
      <c r="L99" s="7" t="str">
        <f>IF(AND(Activities!$A100&lt;&gt;"",IF(Activities!$E100&lt;&gt;"",ISNUMBER(SEARCH(",10,",","&amp;Activities!$E100&amp;",")),AND(Activities!$C100&lt;=10,Activities!$D100&gt;=10))),IF(Activities!$H100="Coaches","🌱 ",IF(Activities!$H100="Coordinators","⚙️ ",IF(Activities!$H100="Both","👥 ","")))&amp;Activities!$B100&amp;CHAR(10)&amp;REPT("●",Activities!$F100),"")</f>
        <v/>
      </c>
      <c r="M99" s="7" t="str">
        <f>IF(AND(Activities!$A100&lt;&gt;"",IF(Activities!$E100&lt;&gt;"",ISNUMBER(SEARCH(",11,",","&amp;Activities!$E100&amp;",")),AND(Activities!$C100&lt;=11,Activities!$D100&gt;=11))),IF(Activities!$H100="Coaches","🌱 ",IF(Activities!$H100="Coordinators","⚙️ ",IF(Activities!$H100="Both","👥 ","")))&amp;Activities!$B100&amp;CHAR(10)&amp;REPT("●",Activities!$F100),"")</f>
        <v/>
      </c>
      <c r="N99" s="7" t="str">
        <f>IF(AND(Activities!$A100&lt;&gt;"",IF(Activities!$E100&lt;&gt;"",ISNUMBER(SEARCH(",12,",","&amp;Activities!$E100&amp;",")),AND(Activities!$C100&lt;=12,Activities!$D100&gt;=12))),IF(Activities!$H100="Coaches","🌱 ",IF(Activities!$H100="Coordinators","⚙️ ",IF(Activities!$H100="Both","👥 ","")))&amp;Activities!$B100&amp;CHAR(10)&amp;REPT("●",Activities!$F100),"")</f>
        <v/>
      </c>
    </row>
    <row r="100" spans="1:14" s="8" customFormat="1" ht="20">
      <c r="A100" s="14" t="str">
        <f>IF(Activities!$A101&lt;&gt;"",Activities!$A101,"")</f>
        <v/>
      </c>
      <c r="B100" s="7" t="str">
        <f>IF(Activities!$B101&lt;&gt;"",Activities!$B101,"")</f>
        <v/>
      </c>
      <c r="C100" s="7" t="str">
        <f>IF(AND(Activities!$A101&lt;&gt;"",IF(Activities!$E101&lt;&gt;"",ISNUMBER(SEARCH(",1,",","&amp;Activities!$E101&amp;",")),AND(Activities!$C101&lt;=1,Activities!$D101&gt;=1))),IF(Activities!$H101="Coaches","🌱 ",IF(Activities!$H101="Coordinators","⚙️ ",IF(Activities!$H101="Both","👥 ","")))&amp;Activities!$B101&amp;CHAR(10)&amp;REPT("●",Activities!$F101),"")</f>
        <v/>
      </c>
      <c r="D100" s="7" t="str">
        <f>IF(AND(Activities!$A101&lt;&gt;"",IF(Activities!$E101&lt;&gt;"",ISNUMBER(SEARCH(",2,",","&amp;Activities!$E101&amp;",")),AND(Activities!$C101&lt;=2,Activities!$D101&gt;=2))),IF(Activities!$H101="Coaches","🌱 ",IF(Activities!$H101="Coordinators","⚙️ ",IF(Activities!$H101="Both","👥 ","")))&amp;Activities!$B101&amp;CHAR(10)&amp;REPT("●",Activities!$F101),"")</f>
        <v/>
      </c>
      <c r="E100" s="7" t="str">
        <f>IF(AND(Activities!$A101&lt;&gt;"",IF(Activities!$E101&lt;&gt;"",ISNUMBER(SEARCH(",3,",","&amp;Activities!$E101&amp;",")),AND(Activities!$C101&lt;=3,Activities!$D101&gt;=3))),IF(Activities!$H101="Coaches","🌱 ",IF(Activities!$H101="Coordinators","⚙️ ",IF(Activities!$H101="Both","👥 ","")))&amp;Activities!$B101&amp;CHAR(10)&amp;REPT("●",Activities!$F101),"")</f>
        <v/>
      </c>
      <c r="F100" s="7" t="str">
        <f>IF(AND(Activities!$A101&lt;&gt;"",IF(Activities!$E101&lt;&gt;"",ISNUMBER(SEARCH(",4,",","&amp;Activities!$E101&amp;",")),AND(Activities!$C101&lt;=4,Activities!$D101&gt;=4))),IF(Activities!$H101="Coaches","🌱 ",IF(Activities!$H101="Coordinators","⚙️ ",IF(Activities!$H101="Both","👥 ","")))&amp;Activities!$B101&amp;CHAR(10)&amp;REPT("●",Activities!$F101),"")</f>
        <v/>
      </c>
      <c r="G100" s="7" t="str">
        <f>IF(AND(Activities!$A101&lt;&gt;"",IF(Activities!$E101&lt;&gt;"",ISNUMBER(SEARCH(",5,",","&amp;Activities!$E101&amp;",")),AND(Activities!$C101&lt;=5,Activities!$D101&gt;=5))),IF(Activities!$H101="Coaches","🌱 ",IF(Activities!$H101="Coordinators","⚙️ ",IF(Activities!$H101="Both","👥 ","")))&amp;Activities!$B101&amp;CHAR(10)&amp;REPT("●",Activities!$F101),"")</f>
        <v/>
      </c>
      <c r="H100" s="7" t="str">
        <f>IF(AND(Activities!$A101&lt;&gt;"",IF(Activities!$E101&lt;&gt;"",ISNUMBER(SEARCH(",6,",","&amp;Activities!$E101&amp;",")),AND(Activities!$C101&lt;=6,Activities!$D101&gt;=6))),IF(Activities!$H101="Coaches","🌱 ",IF(Activities!$H101="Coordinators","⚙️ ",IF(Activities!$H101="Both","👥 ","")))&amp;Activities!$B101&amp;CHAR(10)&amp;REPT("●",Activities!$F101),"")</f>
        <v/>
      </c>
      <c r="I100" s="7" t="str">
        <f>IF(AND(Activities!$A101&lt;&gt;"",IF(Activities!$E101&lt;&gt;"",ISNUMBER(SEARCH(",7,",","&amp;Activities!$E101&amp;",")),AND(Activities!$C101&lt;=7,Activities!$D101&gt;=7))),IF(Activities!$H101="Coaches","🌱 ",IF(Activities!$H101="Coordinators","⚙️ ",IF(Activities!$H101="Both","👥 ","")))&amp;Activities!$B101&amp;CHAR(10)&amp;REPT("●",Activities!$F101),"")</f>
        <v/>
      </c>
      <c r="J100" s="7" t="str">
        <f>IF(AND(Activities!$A101&lt;&gt;"",IF(Activities!$E101&lt;&gt;"",ISNUMBER(SEARCH(",8,",","&amp;Activities!$E101&amp;",")),AND(Activities!$C101&lt;=8,Activities!$D101&gt;=8))),IF(Activities!$H101="Coaches","🌱 ",IF(Activities!$H101="Coordinators","⚙️ ",IF(Activities!$H101="Both","👥 ","")))&amp;Activities!$B101&amp;CHAR(10)&amp;REPT("●",Activities!$F101),"")</f>
        <v/>
      </c>
      <c r="K100" s="7" t="str">
        <f>IF(AND(Activities!$A101&lt;&gt;"",IF(Activities!$E101&lt;&gt;"",ISNUMBER(SEARCH(",9,",","&amp;Activities!$E101&amp;",")),AND(Activities!$C101&lt;=9,Activities!$D101&gt;=9))),IF(Activities!$H101="Coaches","🌱 ",IF(Activities!$H101="Coordinators","⚙️ ",IF(Activities!$H101="Both","👥 ","")))&amp;Activities!$B101&amp;CHAR(10)&amp;REPT("●",Activities!$F101),"")</f>
        <v/>
      </c>
      <c r="L100" s="7" t="str">
        <f>IF(AND(Activities!$A101&lt;&gt;"",IF(Activities!$E101&lt;&gt;"",ISNUMBER(SEARCH(",10,",","&amp;Activities!$E101&amp;",")),AND(Activities!$C101&lt;=10,Activities!$D101&gt;=10))),IF(Activities!$H101="Coaches","🌱 ",IF(Activities!$H101="Coordinators","⚙️ ",IF(Activities!$H101="Both","👥 ","")))&amp;Activities!$B101&amp;CHAR(10)&amp;REPT("●",Activities!$F101),"")</f>
        <v/>
      </c>
      <c r="M100" s="7" t="str">
        <f>IF(AND(Activities!$A101&lt;&gt;"",IF(Activities!$E101&lt;&gt;"",ISNUMBER(SEARCH(",11,",","&amp;Activities!$E101&amp;",")),AND(Activities!$C101&lt;=11,Activities!$D101&gt;=11))),IF(Activities!$H101="Coaches","🌱 ",IF(Activities!$H101="Coordinators","⚙️ ",IF(Activities!$H101="Both","👥 ","")))&amp;Activities!$B101&amp;CHAR(10)&amp;REPT("●",Activities!$F101),"")</f>
        <v/>
      </c>
      <c r="N100" s="7" t="str">
        <f>IF(AND(Activities!$A101&lt;&gt;"",IF(Activities!$E101&lt;&gt;"",ISNUMBER(SEARCH(",12,",","&amp;Activities!$E101&amp;",")),AND(Activities!$C101&lt;=12,Activities!$D101&gt;=12))),IF(Activities!$H101="Coaches","🌱 ",IF(Activities!$H101="Coordinators","⚙️ ",IF(Activities!$H101="Both","👥 ","")))&amp;Activities!$B101&amp;CHAR(10)&amp;REPT("●",Activities!$F101),"")</f>
        <v/>
      </c>
    </row>
    <row r="101" spans="1:14" s="8" customFormat="1" ht="20">
      <c r="A101" s="14" t="str">
        <f>IF(Activities!$A102&lt;&gt;"",Activities!$A102,"")</f>
        <v/>
      </c>
      <c r="B101" s="7" t="str">
        <f>IF(Activities!$B102&lt;&gt;"",Activities!$B102,"")</f>
        <v/>
      </c>
      <c r="C101" s="7" t="str">
        <f>IF(AND(Activities!$A102&lt;&gt;"",IF(Activities!$E102&lt;&gt;"",ISNUMBER(SEARCH(",1,",","&amp;Activities!$E102&amp;",")),AND(Activities!$C102&lt;=1,Activities!$D102&gt;=1))),IF(Activities!$H102="Coaches","🌱 ",IF(Activities!$H102="Coordinators","⚙️ ",IF(Activities!$H102="Both","👥 ","")))&amp;Activities!$B102&amp;CHAR(10)&amp;REPT("●",Activities!$F102),"")</f>
        <v/>
      </c>
      <c r="D101" s="7" t="str">
        <f>IF(AND(Activities!$A102&lt;&gt;"",IF(Activities!$E102&lt;&gt;"",ISNUMBER(SEARCH(",2,",","&amp;Activities!$E102&amp;",")),AND(Activities!$C102&lt;=2,Activities!$D102&gt;=2))),IF(Activities!$H102="Coaches","🌱 ",IF(Activities!$H102="Coordinators","⚙️ ",IF(Activities!$H102="Both","👥 ","")))&amp;Activities!$B102&amp;CHAR(10)&amp;REPT("●",Activities!$F102),"")</f>
        <v/>
      </c>
      <c r="E101" s="7" t="str">
        <f>IF(AND(Activities!$A102&lt;&gt;"",IF(Activities!$E102&lt;&gt;"",ISNUMBER(SEARCH(",3,",","&amp;Activities!$E102&amp;",")),AND(Activities!$C102&lt;=3,Activities!$D102&gt;=3))),IF(Activities!$H102="Coaches","🌱 ",IF(Activities!$H102="Coordinators","⚙️ ",IF(Activities!$H102="Both","👥 ","")))&amp;Activities!$B102&amp;CHAR(10)&amp;REPT("●",Activities!$F102),"")</f>
        <v/>
      </c>
      <c r="F101" s="7" t="str">
        <f>IF(AND(Activities!$A102&lt;&gt;"",IF(Activities!$E102&lt;&gt;"",ISNUMBER(SEARCH(",4,",","&amp;Activities!$E102&amp;",")),AND(Activities!$C102&lt;=4,Activities!$D102&gt;=4))),IF(Activities!$H102="Coaches","🌱 ",IF(Activities!$H102="Coordinators","⚙️ ",IF(Activities!$H102="Both","👥 ","")))&amp;Activities!$B102&amp;CHAR(10)&amp;REPT("●",Activities!$F102),"")</f>
        <v/>
      </c>
      <c r="G101" s="7" t="str">
        <f>IF(AND(Activities!$A102&lt;&gt;"",IF(Activities!$E102&lt;&gt;"",ISNUMBER(SEARCH(",5,",","&amp;Activities!$E102&amp;",")),AND(Activities!$C102&lt;=5,Activities!$D102&gt;=5))),IF(Activities!$H102="Coaches","🌱 ",IF(Activities!$H102="Coordinators","⚙️ ",IF(Activities!$H102="Both","👥 ","")))&amp;Activities!$B102&amp;CHAR(10)&amp;REPT("●",Activities!$F102),"")</f>
        <v/>
      </c>
      <c r="H101" s="7" t="str">
        <f>IF(AND(Activities!$A102&lt;&gt;"",IF(Activities!$E102&lt;&gt;"",ISNUMBER(SEARCH(",6,",","&amp;Activities!$E102&amp;",")),AND(Activities!$C102&lt;=6,Activities!$D102&gt;=6))),IF(Activities!$H102="Coaches","🌱 ",IF(Activities!$H102="Coordinators","⚙️ ",IF(Activities!$H102="Both","👥 ","")))&amp;Activities!$B102&amp;CHAR(10)&amp;REPT("●",Activities!$F102),"")</f>
        <v/>
      </c>
      <c r="I101" s="7" t="str">
        <f>IF(AND(Activities!$A102&lt;&gt;"",IF(Activities!$E102&lt;&gt;"",ISNUMBER(SEARCH(",7,",","&amp;Activities!$E102&amp;",")),AND(Activities!$C102&lt;=7,Activities!$D102&gt;=7))),IF(Activities!$H102="Coaches","🌱 ",IF(Activities!$H102="Coordinators","⚙️ ",IF(Activities!$H102="Both","👥 ","")))&amp;Activities!$B102&amp;CHAR(10)&amp;REPT("●",Activities!$F102),"")</f>
        <v/>
      </c>
      <c r="J101" s="7" t="str">
        <f>IF(AND(Activities!$A102&lt;&gt;"",IF(Activities!$E102&lt;&gt;"",ISNUMBER(SEARCH(",8,",","&amp;Activities!$E102&amp;",")),AND(Activities!$C102&lt;=8,Activities!$D102&gt;=8))),IF(Activities!$H102="Coaches","🌱 ",IF(Activities!$H102="Coordinators","⚙️ ",IF(Activities!$H102="Both","👥 ","")))&amp;Activities!$B102&amp;CHAR(10)&amp;REPT("●",Activities!$F102),"")</f>
        <v/>
      </c>
      <c r="K101" s="7" t="str">
        <f>IF(AND(Activities!$A102&lt;&gt;"",IF(Activities!$E102&lt;&gt;"",ISNUMBER(SEARCH(",9,",","&amp;Activities!$E102&amp;",")),AND(Activities!$C102&lt;=9,Activities!$D102&gt;=9))),IF(Activities!$H102="Coaches","🌱 ",IF(Activities!$H102="Coordinators","⚙️ ",IF(Activities!$H102="Both","👥 ","")))&amp;Activities!$B102&amp;CHAR(10)&amp;REPT("●",Activities!$F102),"")</f>
        <v/>
      </c>
      <c r="L101" s="7" t="str">
        <f>IF(AND(Activities!$A102&lt;&gt;"",IF(Activities!$E102&lt;&gt;"",ISNUMBER(SEARCH(",10,",","&amp;Activities!$E102&amp;",")),AND(Activities!$C102&lt;=10,Activities!$D102&gt;=10))),IF(Activities!$H102="Coaches","🌱 ",IF(Activities!$H102="Coordinators","⚙️ ",IF(Activities!$H102="Both","👥 ","")))&amp;Activities!$B102&amp;CHAR(10)&amp;REPT("●",Activities!$F102),"")</f>
        <v/>
      </c>
      <c r="M101" s="7" t="str">
        <f>IF(AND(Activities!$A102&lt;&gt;"",IF(Activities!$E102&lt;&gt;"",ISNUMBER(SEARCH(",11,",","&amp;Activities!$E102&amp;",")),AND(Activities!$C102&lt;=11,Activities!$D102&gt;=11))),IF(Activities!$H102="Coaches","🌱 ",IF(Activities!$H102="Coordinators","⚙️ ",IF(Activities!$H102="Both","👥 ","")))&amp;Activities!$B102&amp;CHAR(10)&amp;REPT("●",Activities!$F102),"")</f>
        <v/>
      </c>
      <c r="N101" s="7" t="str">
        <f>IF(AND(Activities!$A102&lt;&gt;"",IF(Activities!$E102&lt;&gt;"",ISNUMBER(SEARCH(",12,",","&amp;Activities!$E102&amp;",")),AND(Activities!$C102&lt;=12,Activities!$D102&gt;=12))),IF(Activities!$H102="Coaches","🌱 ",IF(Activities!$H102="Coordinators","⚙️ ",IF(Activities!$H102="Both","👥 ","")))&amp;Activities!$B102&amp;CHAR(10)&amp;REPT("●",Activities!$F102),"")</f>
        <v/>
      </c>
    </row>
    <row r="102" spans="1:14" s="8" customFormat="1" ht="20">
      <c r="A102" s="14" t="str">
        <f>IF(Activities!$A103&lt;&gt;"",Activities!$A103,"")</f>
        <v/>
      </c>
      <c r="B102" s="7" t="str">
        <f>IF(Activities!$B103&lt;&gt;"",Activities!$B103,"")</f>
        <v/>
      </c>
      <c r="C102" s="7" t="str">
        <f>IF(AND(Activities!$A103&lt;&gt;"",IF(Activities!$E103&lt;&gt;"",ISNUMBER(SEARCH(",1,",","&amp;Activities!$E103&amp;",")),AND(Activities!$C103&lt;=1,Activities!$D103&gt;=1))),IF(Activities!$H103="Coaches","🌱 ",IF(Activities!$H103="Coordinators","⚙️ ",IF(Activities!$H103="Both","👥 ","")))&amp;Activities!$B103&amp;CHAR(10)&amp;REPT("●",Activities!$F103),"")</f>
        <v/>
      </c>
      <c r="D102" s="7" t="str">
        <f>IF(AND(Activities!$A103&lt;&gt;"",IF(Activities!$E103&lt;&gt;"",ISNUMBER(SEARCH(",2,",","&amp;Activities!$E103&amp;",")),AND(Activities!$C103&lt;=2,Activities!$D103&gt;=2))),IF(Activities!$H103="Coaches","🌱 ",IF(Activities!$H103="Coordinators","⚙️ ",IF(Activities!$H103="Both","👥 ","")))&amp;Activities!$B103&amp;CHAR(10)&amp;REPT("●",Activities!$F103),"")</f>
        <v/>
      </c>
      <c r="E102" s="7" t="str">
        <f>IF(AND(Activities!$A103&lt;&gt;"",IF(Activities!$E103&lt;&gt;"",ISNUMBER(SEARCH(",3,",","&amp;Activities!$E103&amp;",")),AND(Activities!$C103&lt;=3,Activities!$D103&gt;=3))),IF(Activities!$H103="Coaches","🌱 ",IF(Activities!$H103="Coordinators","⚙️ ",IF(Activities!$H103="Both","👥 ","")))&amp;Activities!$B103&amp;CHAR(10)&amp;REPT("●",Activities!$F103),"")</f>
        <v/>
      </c>
      <c r="F102" s="7" t="str">
        <f>IF(AND(Activities!$A103&lt;&gt;"",IF(Activities!$E103&lt;&gt;"",ISNUMBER(SEARCH(",4,",","&amp;Activities!$E103&amp;",")),AND(Activities!$C103&lt;=4,Activities!$D103&gt;=4))),IF(Activities!$H103="Coaches","🌱 ",IF(Activities!$H103="Coordinators","⚙️ ",IF(Activities!$H103="Both","👥 ","")))&amp;Activities!$B103&amp;CHAR(10)&amp;REPT("●",Activities!$F103),"")</f>
        <v/>
      </c>
      <c r="G102" s="7" t="str">
        <f>IF(AND(Activities!$A103&lt;&gt;"",IF(Activities!$E103&lt;&gt;"",ISNUMBER(SEARCH(",5,",","&amp;Activities!$E103&amp;",")),AND(Activities!$C103&lt;=5,Activities!$D103&gt;=5))),IF(Activities!$H103="Coaches","🌱 ",IF(Activities!$H103="Coordinators","⚙️ ",IF(Activities!$H103="Both","👥 ","")))&amp;Activities!$B103&amp;CHAR(10)&amp;REPT("●",Activities!$F103),"")</f>
        <v/>
      </c>
      <c r="H102" s="7" t="str">
        <f>IF(AND(Activities!$A103&lt;&gt;"",IF(Activities!$E103&lt;&gt;"",ISNUMBER(SEARCH(",6,",","&amp;Activities!$E103&amp;",")),AND(Activities!$C103&lt;=6,Activities!$D103&gt;=6))),IF(Activities!$H103="Coaches","🌱 ",IF(Activities!$H103="Coordinators","⚙️ ",IF(Activities!$H103="Both","👥 ","")))&amp;Activities!$B103&amp;CHAR(10)&amp;REPT("●",Activities!$F103),"")</f>
        <v/>
      </c>
      <c r="I102" s="7" t="str">
        <f>IF(AND(Activities!$A103&lt;&gt;"",IF(Activities!$E103&lt;&gt;"",ISNUMBER(SEARCH(",7,",","&amp;Activities!$E103&amp;",")),AND(Activities!$C103&lt;=7,Activities!$D103&gt;=7))),IF(Activities!$H103="Coaches","🌱 ",IF(Activities!$H103="Coordinators","⚙️ ",IF(Activities!$H103="Both","👥 ","")))&amp;Activities!$B103&amp;CHAR(10)&amp;REPT("●",Activities!$F103),"")</f>
        <v/>
      </c>
      <c r="J102" s="7" t="str">
        <f>IF(AND(Activities!$A103&lt;&gt;"",IF(Activities!$E103&lt;&gt;"",ISNUMBER(SEARCH(",8,",","&amp;Activities!$E103&amp;",")),AND(Activities!$C103&lt;=8,Activities!$D103&gt;=8))),IF(Activities!$H103="Coaches","🌱 ",IF(Activities!$H103="Coordinators","⚙️ ",IF(Activities!$H103="Both","👥 ","")))&amp;Activities!$B103&amp;CHAR(10)&amp;REPT("●",Activities!$F103),"")</f>
        <v/>
      </c>
      <c r="K102" s="7" t="str">
        <f>IF(AND(Activities!$A103&lt;&gt;"",IF(Activities!$E103&lt;&gt;"",ISNUMBER(SEARCH(",9,",","&amp;Activities!$E103&amp;",")),AND(Activities!$C103&lt;=9,Activities!$D103&gt;=9))),IF(Activities!$H103="Coaches","🌱 ",IF(Activities!$H103="Coordinators","⚙️ ",IF(Activities!$H103="Both","👥 ","")))&amp;Activities!$B103&amp;CHAR(10)&amp;REPT("●",Activities!$F103),"")</f>
        <v/>
      </c>
      <c r="L102" s="7" t="str">
        <f>IF(AND(Activities!$A103&lt;&gt;"",IF(Activities!$E103&lt;&gt;"",ISNUMBER(SEARCH(",10,",","&amp;Activities!$E103&amp;",")),AND(Activities!$C103&lt;=10,Activities!$D103&gt;=10))),IF(Activities!$H103="Coaches","🌱 ",IF(Activities!$H103="Coordinators","⚙️ ",IF(Activities!$H103="Both","👥 ","")))&amp;Activities!$B103&amp;CHAR(10)&amp;REPT("●",Activities!$F103),"")</f>
        <v/>
      </c>
      <c r="M102" s="7" t="str">
        <f>IF(AND(Activities!$A103&lt;&gt;"",IF(Activities!$E103&lt;&gt;"",ISNUMBER(SEARCH(",11,",","&amp;Activities!$E103&amp;",")),AND(Activities!$C103&lt;=11,Activities!$D103&gt;=11))),IF(Activities!$H103="Coaches","🌱 ",IF(Activities!$H103="Coordinators","⚙️ ",IF(Activities!$H103="Both","👥 ","")))&amp;Activities!$B103&amp;CHAR(10)&amp;REPT("●",Activities!$F103),"")</f>
        <v/>
      </c>
      <c r="N102" s="7" t="str">
        <f>IF(AND(Activities!$A103&lt;&gt;"",IF(Activities!$E103&lt;&gt;"",ISNUMBER(SEARCH(",12,",","&amp;Activities!$E103&amp;",")),AND(Activities!$C103&lt;=12,Activities!$D103&gt;=12))),IF(Activities!$H103="Coaches","🌱 ",IF(Activities!$H103="Coordinators","⚙️ ",IF(Activities!$H103="Both","👥 ","")))&amp;Activities!$B103&amp;CHAR(10)&amp;REPT("●",Activities!$F103),"")</f>
        <v/>
      </c>
    </row>
    <row r="103" spans="1:14" s="8" customFormat="1" ht="20">
      <c r="A103" s="14" t="str">
        <f>IF(Activities!$A104&lt;&gt;"",Activities!$A104,"")</f>
        <v/>
      </c>
      <c r="B103" s="7" t="str">
        <f>IF(Activities!$B104&lt;&gt;"",Activities!$B104,"")</f>
        <v/>
      </c>
      <c r="C103" s="7" t="str">
        <f>IF(AND(Activities!$A104&lt;&gt;"",IF(Activities!$E104&lt;&gt;"",ISNUMBER(SEARCH(",1,",","&amp;Activities!$E104&amp;",")),AND(Activities!$C104&lt;=1,Activities!$D104&gt;=1))),IF(Activities!$H104="Coaches","🌱 ",IF(Activities!$H104="Coordinators","⚙️ ",IF(Activities!$H104="Both","👥 ","")))&amp;Activities!$B104&amp;CHAR(10)&amp;REPT("●",Activities!$F104),"")</f>
        <v/>
      </c>
      <c r="D103" s="7" t="str">
        <f>IF(AND(Activities!$A104&lt;&gt;"",IF(Activities!$E104&lt;&gt;"",ISNUMBER(SEARCH(",2,",","&amp;Activities!$E104&amp;",")),AND(Activities!$C104&lt;=2,Activities!$D104&gt;=2))),IF(Activities!$H104="Coaches","🌱 ",IF(Activities!$H104="Coordinators","⚙️ ",IF(Activities!$H104="Both","👥 ","")))&amp;Activities!$B104&amp;CHAR(10)&amp;REPT("●",Activities!$F104),"")</f>
        <v/>
      </c>
      <c r="E103" s="7" t="str">
        <f>IF(AND(Activities!$A104&lt;&gt;"",IF(Activities!$E104&lt;&gt;"",ISNUMBER(SEARCH(",3,",","&amp;Activities!$E104&amp;",")),AND(Activities!$C104&lt;=3,Activities!$D104&gt;=3))),IF(Activities!$H104="Coaches","🌱 ",IF(Activities!$H104="Coordinators","⚙️ ",IF(Activities!$H104="Both","👥 ","")))&amp;Activities!$B104&amp;CHAR(10)&amp;REPT("●",Activities!$F104),"")</f>
        <v/>
      </c>
      <c r="F103" s="7" t="str">
        <f>IF(AND(Activities!$A104&lt;&gt;"",IF(Activities!$E104&lt;&gt;"",ISNUMBER(SEARCH(",4,",","&amp;Activities!$E104&amp;",")),AND(Activities!$C104&lt;=4,Activities!$D104&gt;=4))),IF(Activities!$H104="Coaches","🌱 ",IF(Activities!$H104="Coordinators","⚙️ ",IF(Activities!$H104="Both","👥 ","")))&amp;Activities!$B104&amp;CHAR(10)&amp;REPT("●",Activities!$F104),"")</f>
        <v/>
      </c>
      <c r="G103" s="7" t="str">
        <f>IF(AND(Activities!$A104&lt;&gt;"",IF(Activities!$E104&lt;&gt;"",ISNUMBER(SEARCH(",5,",","&amp;Activities!$E104&amp;",")),AND(Activities!$C104&lt;=5,Activities!$D104&gt;=5))),IF(Activities!$H104="Coaches","🌱 ",IF(Activities!$H104="Coordinators","⚙️ ",IF(Activities!$H104="Both","👥 ","")))&amp;Activities!$B104&amp;CHAR(10)&amp;REPT("●",Activities!$F104),"")</f>
        <v/>
      </c>
      <c r="H103" s="7" t="str">
        <f>IF(AND(Activities!$A104&lt;&gt;"",IF(Activities!$E104&lt;&gt;"",ISNUMBER(SEARCH(",6,",","&amp;Activities!$E104&amp;",")),AND(Activities!$C104&lt;=6,Activities!$D104&gt;=6))),IF(Activities!$H104="Coaches","🌱 ",IF(Activities!$H104="Coordinators","⚙️ ",IF(Activities!$H104="Both","👥 ","")))&amp;Activities!$B104&amp;CHAR(10)&amp;REPT("●",Activities!$F104),"")</f>
        <v/>
      </c>
      <c r="I103" s="7" t="str">
        <f>IF(AND(Activities!$A104&lt;&gt;"",IF(Activities!$E104&lt;&gt;"",ISNUMBER(SEARCH(",7,",","&amp;Activities!$E104&amp;",")),AND(Activities!$C104&lt;=7,Activities!$D104&gt;=7))),IF(Activities!$H104="Coaches","🌱 ",IF(Activities!$H104="Coordinators","⚙️ ",IF(Activities!$H104="Both","👥 ","")))&amp;Activities!$B104&amp;CHAR(10)&amp;REPT("●",Activities!$F104),"")</f>
        <v/>
      </c>
      <c r="J103" s="7" t="str">
        <f>IF(AND(Activities!$A104&lt;&gt;"",IF(Activities!$E104&lt;&gt;"",ISNUMBER(SEARCH(",8,",","&amp;Activities!$E104&amp;",")),AND(Activities!$C104&lt;=8,Activities!$D104&gt;=8))),IF(Activities!$H104="Coaches","🌱 ",IF(Activities!$H104="Coordinators","⚙️ ",IF(Activities!$H104="Both","👥 ","")))&amp;Activities!$B104&amp;CHAR(10)&amp;REPT("●",Activities!$F104),"")</f>
        <v/>
      </c>
      <c r="K103" s="7" t="str">
        <f>IF(AND(Activities!$A104&lt;&gt;"",IF(Activities!$E104&lt;&gt;"",ISNUMBER(SEARCH(",9,",","&amp;Activities!$E104&amp;",")),AND(Activities!$C104&lt;=9,Activities!$D104&gt;=9))),IF(Activities!$H104="Coaches","🌱 ",IF(Activities!$H104="Coordinators","⚙️ ",IF(Activities!$H104="Both","👥 ","")))&amp;Activities!$B104&amp;CHAR(10)&amp;REPT("●",Activities!$F104),"")</f>
        <v/>
      </c>
      <c r="L103" s="7" t="str">
        <f>IF(AND(Activities!$A104&lt;&gt;"",IF(Activities!$E104&lt;&gt;"",ISNUMBER(SEARCH(",10,",","&amp;Activities!$E104&amp;",")),AND(Activities!$C104&lt;=10,Activities!$D104&gt;=10))),IF(Activities!$H104="Coaches","🌱 ",IF(Activities!$H104="Coordinators","⚙️ ",IF(Activities!$H104="Both","👥 ","")))&amp;Activities!$B104&amp;CHAR(10)&amp;REPT("●",Activities!$F104),"")</f>
        <v/>
      </c>
      <c r="M103" s="7" t="str">
        <f>IF(AND(Activities!$A104&lt;&gt;"",IF(Activities!$E104&lt;&gt;"",ISNUMBER(SEARCH(",11,",","&amp;Activities!$E104&amp;",")),AND(Activities!$C104&lt;=11,Activities!$D104&gt;=11))),IF(Activities!$H104="Coaches","🌱 ",IF(Activities!$H104="Coordinators","⚙️ ",IF(Activities!$H104="Both","👥 ","")))&amp;Activities!$B104&amp;CHAR(10)&amp;REPT("●",Activities!$F104),"")</f>
        <v/>
      </c>
      <c r="N103" s="7" t="str">
        <f>IF(AND(Activities!$A104&lt;&gt;"",IF(Activities!$E104&lt;&gt;"",ISNUMBER(SEARCH(",12,",","&amp;Activities!$E104&amp;",")),AND(Activities!$C104&lt;=12,Activities!$D104&gt;=12))),IF(Activities!$H104="Coaches","🌱 ",IF(Activities!$H104="Coordinators","⚙️ ",IF(Activities!$H104="Both","👥 ","")))&amp;Activities!$B104&amp;CHAR(10)&amp;REPT("●",Activities!$F104),"")</f>
        <v/>
      </c>
    </row>
    <row r="104" spans="1:14" s="8" customFormat="1" ht="20">
      <c r="A104" s="14" t="str">
        <f>IF(Activities!$A105&lt;&gt;"",Activities!$A105,"")</f>
        <v/>
      </c>
      <c r="B104" s="7" t="str">
        <f>IF(Activities!$B105&lt;&gt;"",Activities!$B105,"")</f>
        <v/>
      </c>
      <c r="C104" s="7" t="str">
        <f>IF(AND(Activities!$A105&lt;&gt;"",IF(Activities!$E105&lt;&gt;"",ISNUMBER(SEARCH(",1,",","&amp;Activities!$E105&amp;",")),AND(Activities!$C105&lt;=1,Activities!$D105&gt;=1))),IF(Activities!$H105="Coaches","🌱 ",IF(Activities!$H105="Coordinators","⚙️ ",IF(Activities!$H105="Both","👥 ","")))&amp;Activities!$B105&amp;CHAR(10)&amp;REPT("●",Activities!$F105),"")</f>
        <v/>
      </c>
      <c r="D104" s="7" t="str">
        <f>IF(AND(Activities!$A105&lt;&gt;"",IF(Activities!$E105&lt;&gt;"",ISNUMBER(SEARCH(",2,",","&amp;Activities!$E105&amp;",")),AND(Activities!$C105&lt;=2,Activities!$D105&gt;=2))),IF(Activities!$H105="Coaches","🌱 ",IF(Activities!$H105="Coordinators","⚙️ ",IF(Activities!$H105="Both","👥 ","")))&amp;Activities!$B105&amp;CHAR(10)&amp;REPT("●",Activities!$F105),"")</f>
        <v/>
      </c>
      <c r="E104" s="7" t="str">
        <f>IF(AND(Activities!$A105&lt;&gt;"",IF(Activities!$E105&lt;&gt;"",ISNUMBER(SEARCH(",3,",","&amp;Activities!$E105&amp;",")),AND(Activities!$C105&lt;=3,Activities!$D105&gt;=3))),IF(Activities!$H105="Coaches","🌱 ",IF(Activities!$H105="Coordinators","⚙️ ",IF(Activities!$H105="Both","👥 ","")))&amp;Activities!$B105&amp;CHAR(10)&amp;REPT("●",Activities!$F105),"")</f>
        <v/>
      </c>
      <c r="F104" s="7" t="str">
        <f>IF(AND(Activities!$A105&lt;&gt;"",IF(Activities!$E105&lt;&gt;"",ISNUMBER(SEARCH(",4,",","&amp;Activities!$E105&amp;",")),AND(Activities!$C105&lt;=4,Activities!$D105&gt;=4))),IF(Activities!$H105="Coaches","🌱 ",IF(Activities!$H105="Coordinators","⚙️ ",IF(Activities!$H105="Both","👥 ","")))&amp;Activities!$B105&amp;CHAR(10)&amp;REPT("●",Activities!$F105),"")</f>
        <v/>
      </c>
      <c r="G104" s="7" t="str">
        <f>IF(AND(Activities!$A105&lt;&gt;"",IF(Activities!$E105&lt;&gt;"",ISNUMBER(SEARCH(",5,",","&amp;Activities!$E105&amp;",")),AND(Activities!$C105&lt;=5,Activities!$D105&gt;=5))),IF(Activities!$H105="Coaches","🌱 ",IF(Activities!$H105="Coordinators","⚙️ ",IF(Activities!$H105="Both","👥 ","")))&amp;Activities!$B105&amp;CHAR(10)&amp;REPT("●",Activities!$F105),"")</f>
        <v/>
      </c>
      <c r="H104" s="7" t="str">
        <f>IF(AND(Activities!$A105&lt;&gt;"",IF(Activities!$E105&lt;&gt;"",ISNUMBER(SEARCH(",6,",","&amp;Activities!$E105&amp;",")),AND(Activities!$C105&lt;=6,Activities!$D105&gt;=6))),IF(Activities!$H105="Coaches","🌱 ",IF(Activities!$H105="Coordinators","⚙️ ",IF(Activities!$H105="Both","👥 ","")))&amp;Activities!$B105&amp;CHAR(10)&amp;REPT("●",Activities!$F105),"")</f>
        <v/>
      </c>
      <c r="I104" s="7" t="str">
        <f>IF(AND(Activities!$A105&lt;&gt;"",IF(Activities!$E105&lt;&gt;"",ISNUMBER(SEARCH(",7,",","&amp;Activities!$E105&amp;",")),AND(Activities!$C105&lt;=7,Activities!$D105&gt;=7))),IF(Activities!$H105="Coaches","🌱 ",IF(Activities!$H105="Coordinators","⚙️ ",IF(Activities!$H105="Both","👥 ","")))&amp;Activities!$B105&amp;CHAR(10)&amp;REPT("●",Activities!$F105),"")</f>
        <v/>
      </c>
      <c r="J104" s="7" t="str">
        <f>IF(AND(Activities!$A105&lt;&gt;"",IF(Activities!$E105&lt;&gt;"",ISNUMBER(SEARCH(",8,",","&amp;Activities!$E105&amp;",")),AND(Activities!$C105&lt;=8,Activities!$D105&gt;=8))),IF(Activities!$H105="Coaches","🌱 ",IF(Activities!$H105="Coordinators","⚙️ ",IF(Activities!$H105="Both","👥 ","")))&amp;Activities!$B105&amp;CHAR(10)&amp;REPT("●",Activities!$F105),"")</f>
        <v/>
      </c>
      <c r="K104" s="7" t="str">
        <f>IF(AND(Activities!$A105&lt;&gt;"",IF(Activities!$E105&lt;&gt;"",ISNUMBER(SEARCH(",9,",","&amp;Activities!$E105&amp;",")),AND(Activities!$C105&lt;=9,Activities!$D105&gt;=9))),IF(Activities!$H105="Coaches","🌱 ",IF(Activities!$H105="Coordinators","⚙️ ",IF(Activities!$H105="Both","👥 ","")))&amp;Activities!$B105&amp;CHAR(10)&amp;REPT("●",Activities!$F105),"")</f>
        <v/>
      </c>
      <c r="L104" s="7" t="str">
        <f>IF(AND(Activities!$A105&lt;&gt;"",IF(Activities!$E105&lt;&gt;"",ISNUMBER(SEARCH(",10,",","&amp;Activities!$E105&amp;",")),AND(Activities!$C105&lt;=10,Activities!$D105&gt;=10))),IF(Activities!$H105="Coaches","🌱 ",IF(Activities!$H105="Coordinators","⚙️ ",IF(Activities!$H105="Both","👥 ","")))&amp;Activities!$B105&amp;CHAR(10)&amp;REPT("●",Activities!$F105),"")</f>
        <v/>
      </c>
      <c r="M104" s="7" t="str">
        <f>IF(AND(Activities!$A105&lt;&gt;"",IF(Activities!$E105&lt;&gt;"",ISNUMBER(SEARCH(",11,",","&amp;Activities!$E105&amp;",")),AND(Activities!$C105&lt;=11,Activities!$D105&gt;=11))),IF(Activities!$H105="Coaches","🌱 ",IF(Activities!$H105="Coordinators","⚙️ ",IF(Activities!$H105="Both","👥 ","")))&amp;Activities!$B105&amp;CHAR(10)&amp;REPT("●",Activities!$F105),"")</f>
        <v/>
      </c>
      <c r="N104" s="7" t="str">
        <f>IF(AND(Activities!$A105&lt;&gt;"",IF(Activities!$E105&lt;&gt;"",ISNUMBER(SEARCH(",12,",","&amp;Activities!$E105&amp;",")),AND(Activities!$C105&lt;=12,Activities!$D105&gt;=12))),IF(Activities!$H105="Coaches","🌱 ",IF(Activities!$H105="Coordinators","⚙️ ",IF(Activities!$H105="Both","👥 ","")))&amp;Activities!$B105&amp;CHAR(10)&amp;REPT("●",Activities!$F105),"")</f>
        <v/>
      </c>
    </row>
    <row r="105" spans="1:14" s="8" customFormat="1" ht="19">
      <c r="A105" s="45"/>
      <c r="B105" s="43"/>
      <c r="C105" s="9"/>
      <c r="D105" s="9"/>
      <c r="E105" s="9"/>
      <c r="F105" s="9"/>
      <c r="G105" s="9"/>
      <c r="H105" s="9"/>
      <c r="I105" s="9"/>
      <c r="J105" s="9"/>
      <c r="K105" s="10"/>
      <c r="L105" s="10"/>
      <c r="M105" s="10"/>
      <c r="N105" s="10"/>
    </row>
    <row r="106" spans="1:14" s="8" customFormat="1" ht="20">
      <c r="A106" s="15" t="s">
        <v>26</v>
      </c>
      <c r="B106" s="11" t="s">
        <v>27</v>
      </c>
      <c r="C106" s="12">
        <f t="array" ref="C106">SUMPRODUCT((C$5:C$104&lt;&gt;"")*(Activities!$G$5:$G$104&lt;&gt;"Yes")*((Activities!$H$5:$H$104="Coaches")+(Activities!$H$5:$H$104="Both"))*Activities!$F$5:$F$104)</f>
        <v>6</v>
      </c>
      <c r="D106" s="12">
        <f t="array" ref="D106">SUMPRODUCT((D$5:D$104&lt;&gt;"")*(Activities!$G$5:$G$104&lt;&gt;"Yes")*((Activities!$H$5:$H$104="Coaches")+(Activities!$H$5:$H$104="Both"))*Activities!$F$5:$F$104)</f>
        <v>13</v>
      </c>
      <c r="E106" s="12">
        <f t="array" ref="E106">SUMPRODUCT((E$5:E$104&lt;&gt;"")*(Activities!$G$5:$G$104&lt;&gt;"Yes")*((Activities!$H$5:$H$104="Coaches")+(Activities!$H$5:$H$104="Both"))*Activities!$F$5:$F$104)</f>
        <v>19</v>
      </c>
      <c r="F106" s="12">
        <f t="array" ref="F106">SUMPRODUCT((F$5:F$104&lt;&gt;"")*(Activities!$G$5:$G$104&lt;&gt;"Yes")*((Activities!$H$5:$H$104="Coaches")+(Activities!$H$5:$H$104="Both"))*Activities!$F$5:$F$104)</f>
        <v>21</v>
      </c>
      <c r="G106" s="12">
        <f t="array" ref="G106">SUMPRODUCT((G$5:G$104&lt;&gt;"")*(Activities!$G$5:$G$104&lt;&gt;"Yes")*((Activities!$H$5:$H$104="Coaches")+(Activities!$H$5:$H$104="Both"))*Activities!$F$5:$F$104)</f>
        <v>14</v>
      </c>
      <c r="H106" s="12">
        <f t="array" ref="H106">SUMPRODUCT((H$5:H$104&lt;&gt;"")*(Activities!$G$5:$G$104&lt;&gt;"Yes")*((Activities!$H$5:$H$104="Coaches")+(Activities!$H$5:$H$104="Both"))*Activities!$F$5:$F$104)</f>
        <v>10</v>
      </c>
      <c r="I106" s="12">
        <f t="array" ref="I106">SUMPRODUCT((I$5:I$104&lt;&gt;"")*(Activities!$G$5:$G$104&lt;&gt;"Yes")*((Activities!$H$5:$H$104="Coaches")+(Activities!$H$5:$H$104="Both"))*Activities!$F$5:$F$104)</f>
        <v>17</v>
      </c>
      <c r="J106" s="12">
        <f t="array" ref="J106">SUMPRODUCT((J$5:J$104&lt;&gt;"")*(Activities!$G$5:$G$104&lt;&gt;"Yes")*((Activities!$H$5:$H$104="Coaches")+(Activities!$H$5:$H$104="Both"))*Activities!$F$5:$F$104)</f>
        <v>15</v>
      </c>
      <c r="K106" s="12">
        <f t="array" ref="K106">SUMPRODUCT((K$5:K$104&lt;&gt;"")*(Activities!$G$5:$G$104&lt;&gt;"Yes")*((Activities!$H$5:$H$104="Coaches")+(Activities!$H$5:$H$104="Both"))*Activities!$F$5:$F$104)</f>
        <v>17</v>
      </c>
      <c r="L106" s="12">
        <f t="array" ref="L106">SUMPRODUCT((L$5:L$104&lt;&gt;"")*(Activities!$G$5:$G$104&lt;&gt;"Yes")*((Activities!$H$5:$H$104="Coaches")+(Activities!$H$5:$H$104="Both"))*Activities!$F$5:$F$104)</f>
        <v>7</v>
      </c>
      <c r="M106" s="12">
        <f t="array" ref="M106">SUMPRODUCT((M$5:M$104&lt;&gt;"")*(Activities!$G$5:$G$104&lt;&gt;"Yes")*((Activities!$H$5:$H$104="Coaches")+(Activities!$H$5:$H$104="Both"))*Activities!$F$5:$F$104)</f>
        <v>9</v>
      </c>
      <c r="N106" s="12">
        <f t="array" ref="N106">SUMPRODUCT((N$5:N$104&lt;&gt;"")*(Activities!$G$5:$G$104&lt;&gt;"Yes")*((Activities!$H$5:$H$104="Coaches")+(Activities!$H$5:$H$104="Both"))*Activities!$F$5:$F$104)</f>
        <v>10</v>
      </c>
    </row>
    <row r="107" spans="1:14" s="8" customFormat="1" ht="20">
      <c r="A107" s="16" t="s">
        <v>28</v>
      </c>
      <c r="B107" s="13" t="s">
        <v>29</v>
      </c>
      <c r="C107" s="13">
        <f>SUMPRODUCT((C$5:C$104&lt;&gt;"")*(Activities!$G$5:$G$104&lt;&gt;"Yes")*((Activities!$H$5:$H$104="Coordinators")+(Activities!$H$5:$H$104="Both"))*Activities!$F$5:$F$104)</f>
        <v>10</v>
      </c>
      <c r="D107" s="13">
        <f>SUMPRODUCT((D$5:D$104&lt;&gt;"")*(Activities!$G$5:$G$104&lt;&gt;"Yes")*((Activities!$H$5:$H$104="Coordinators")+(Activities!$H$5:$H$104="Both"))*Activities!$F$5:$F$104)</f>
        <v>16</v>
      </c>
      <c r="E107" s="13">
        <f>SUMPRODUCT((E$5:E$104&lt;&gt;"")*(Activities!$G$5:$G$104&lt;&gt;"Yes")*((Activities!$H$5:$H$104="Coordinators")+(Activities!$H$5:$H$104="Both"))*Activities!$F$5:$F$104)</f>
        <v>33</v>
      </c>
      <c r="F107" s="13">
        <f>SUMPRODUCT((F$5:F$104&lt;&gt;"")*(Activities!$G$5:$G$104&lt;&gt;"Yes")*((Activities!$H$5:$H$104="Coordinators")+(Activities!$H$5:$H$104="Both"))*Activities!$F$5:$F$104)</f>
        <v>34</v>
      </c>
      <c r="G107" s="13">
        <f>SUMPRODUCT((G$5:G$104&lt;&gt;"")*(Activities!$G$5:$G$104&lt;&gt;"Yes")*((Activities!$H$5:$H$104="Coordinators")+(Activities!$H$5:$H$104="Both"))*Activities!$F$5:$F$104)</f>
        <v>34</v>
      </c>
      <c r="H107" s="13">
        <f>SUMPRODUCT((H$5:H$104&lt;&gt;"")*(Activities!$G$5:$G$104&lt;&gt;"Yes")*((Activities!$H$5:$H$104="Coordinators")+(Activities!$H$5:$H$104="Both"))*Activities!$F$5:$F$104)</f>
        <v>27</v>
      </c>
      <c r="I107" s="13">
        <f>SUMPRODUCT((I$5:I$104&lt;&gt;"")*(Activities!$G$5:$G$104&lt;&gt;"Yes")*((Activities!$H$5:$H$104="Coordinators")+(Activities!$H$5:$H$104="Both"))*Activities!$F$5:$F$104)</f>
        <v>30</v>
      </c>
      <c r="J107" s="13">
        <f>SUMPRODUCT((J$5:J$104&lt;&gt;"")*(Activities!$G$5:$G$104&lt;&gt;"Yes")*((Activities!$H$5:$H$104="Coordinators")+(Activities!$H$5:$H$104="Both"))*Activities!$F$5:$F$104)</f>
        <v>27</v>
      </c>
      <c r="K107" s="13">
        <f>SUMPRODUCT((K$5:K$104&lt;&gt;"")*(Activities!$G$5:$G$104&lt;&gt;"Yes")*((Activities!$H$5:$H$104="Coordinators")+(Activities!$H$5:$H$104="Both"))*Activities!$F$5:$F$104)</f>
        <v>32</v>
      </c>
      <c r="L107" s="13">
        <f>SUMPRODUCT((L$5:L$104&lt;&gt;"")*(Activities!$G$5:$G$104&lt;&gt;"Yes")*((Activities!$H$5:$H$104="Coordinators")+(Activities!$H$5:$H$104="Both"))*Activities!$F$5:$F$104)</f>
        <v>25</v>
      </c>
      <c r="M107" s="13">
        <f>SUMPRODUCT((M$5:M$104&lt;&gt;"")*(Activities!$G$5:$G$104&lt;&gt;"Yes")*((Activities!$H$5:$H$104="Coordinators")+(Activities!$H$5:$H$104="Both"))*Activities!$F$5:$F$104)</f>
        <v>26</v>
      </c>
      <c r="N107" s="13">
        <f>SUMPRODUCT((N$5:N$104&lt;&gt;"")*(Activities!$G$5:$G$104&lt;&gt;"Yes")*((Activities!$H$5:$H$104="Coordinators")+(Activities!$H$5:$H$104="Both"))*Activities!$F$5:$F$104)</f>
        <v>20</v>
      </c>
    </row>
    <row r="108" spans="1:14" s="8" customFormat="1" ht="30">
      <c r="A108" s="16" t="s">
        <v>30</v>
      </c>
      <c r="B108" s="13" t="s">
        <v>31</v>
      </c>
      <c r="C108" s="13">
        <f>SUMPRODUCT((C$5:C$104&lt;&gt;"")*(Activities!$G$5:$G$104&lt;&gt;"Yes")*((Activities!$H$5:$H$104="Coaches")+(Activities!$H$5:$H$104="Coordinators")+(Activities!$H$5:$H$104="Both"))*Activities!$F$5:$F$104)</f>
        <v>14</v>
      </c>
      <c r="D108" s="13">
        <f>SUMPRODUCT((D$5:D$104&lt;&gt;"")*(Activities!$G$5:$G$104&lt;&gt;"Yes")*((Activities!$H$5:$H$104="Coaches")+(Activities!$H$5:$H$104="Coordinators")+(Activities!$H$5:$H$104="Both"))*Activities!$F$5:$F$104)</f>
        <v>24</v>
      </c>
      <c r="E108" s="13">
        <f>SUMPRODUCT((E$5:E$104&lt;&gt;"")*(Activities!$G$5:$G$104&lt;&gt;"Yes")*((Activities!$H$5:$H$104="Coaches")+(Activities!$H$5:$H$104="Coordinators")+(Activities!$H$5:$H$104="Both"))*Activities!$F$5:$F$104)</f>
        <v>48</v>
      </c>
      <c r="F108" s="13">
        <f>SUMPRODUCT((F$5:F$104&lt;&gt;"")*(Activities!$G$5:$G$104&lt;&gt;"Yes")*((Activities!$H$5:$H$104="Coaches")+(Activities!$H$5:$H$104="Coordinators")+(Activities!$H$5:$H$104="Both"))*Activities!$F$5:$F$104)</f>
        <v>48</v>
      </c>
      <c r="G108" s="13">
        <f>SUMPRODUCT((G$5:G$104&lt;&gt;"")*(Activities!$G$5:$G$104&lt;&gt;"Yes")*((Activities!$H$5:$H$104="Coaches")+(Activities!$H$5:$H$104="Coordinators")+(Activities!$H$5:$H$104="Both"))*Activities!$F$5:$F$104)</f>
        <v>43</v>
      </c>
      <c r="H108" s="13">
        <f>SUMPRODUCT((H$5:H$104&lt;&gt;"")*(Activities!$G$5:$G$104&lt;&gt;"Yes")*((Activities!$H$5:$H$104="Coaches")+(Activities!$H$5:$H$104="Coordinators")+(Activities!$H$5:$H$104="Both"))*Activities!$F$5:$F$104)</f>
        <v>34</v>
      </c>
      <c r="I108" s="13">
        <f>SUMPRODUCT((I$5:I$104&lt;&gt;"")*(Activities!$G$5:$G$104&lt;&gt;"Yes")*((Activities!$H$5:$H$104="Coaches")+(Activities!$H$5:$H$104="Coordinators")+(Activities!$H$5:$H$104="Both"))*Activities!$F$5:$F$104)</f>
        <v>43</v>
      </c>
      <c r="J108" s="13">
        <f>SUMPRODUCT((J$5:J$104&lt;&gt;"")*(Activities!$G$5:$G$104&lt;&gt;"Yes")*((Activities!$H$5:$H$104="Coaches")+(Activities!$H$5:$H$104="Coordinators")+(Activities!$H$5:$H$104="Both"))*Activities!$F$5:$F$104)</f>
        <v>39</v>
      </c>
      <c r="K108" s="13">
        <f>SUMPRODUCT((K$5:K$104&lt;&gt;"")*(Activities!$G$5:$G$104&lt;&gt;"Yes")*((Activities!$H$5:$H$104="Coaches")+(Activities!$H$5:$H$104="Coordinators")+(Activities!$H$5:$H$104="Both"))*Activities!$F$5:$F$104)</f>
        <v>43</v>
      </c>
      <c r="L108" s="13">
        <f>SUMPRODUCT((L$5:L$104&lt;&gt;"")*(Activities!$G$5:$G$104&lt;&gt;"Yes")*((Activities!$H$5:$H$104="Coaches")+(Activities!$H$5:$H$104="Coordinators")+(Activities!$H$5:$H$104="Both"))*Activities!$F$5:$F$104)</f>
        <v>28</v>
      </c>
      <c r="M108" s="13">
        <f>SUMPRODUCT((M$5:M$104&lt;&gt;"")*(Activities!$G$5:$G$104&lt;&gt;"Yes")*((Activities!$H$5:$H$104="Coaches")+(Activities!$H$5:$H$104="Coordinators")+(Activities!$H$5:$H$104="Both"))*Activities!$F$5:$F$104)</f>
        <v>32</v>
      </c>
      <c r="N108" s="13">
        <f>SUMPRODUCT((N$5:N$104&lt;&gt;"")*(Activities!$G$5:$G$104&lt;&gt;"Yes")*((Activities!$H$5:$H$104="Coaches")+(Activities!$H$5:$H$104="Coordinators")+(Activities!$H$5:$H$104="Both"))*Activities!$F$5:$F$104)</f>
        <v>26</v>
      </c>
    </row>
    <row r="109" spans="1:14" s="8" customFormat="1" ht="19">
      <c r="A109" s="45"/>
      <c r="B109" s="43"/>
      <c r="C109" s="9"/>
      <c r="D109" s="9"/>
      <c r="E109" s="9"/>
      <c r="F109" s="9"/>
      <c r="G109" s="9"/>
      <c r="H109" s="9"/>
      <c r="I109" s="9"/>
      <c r="J109" s="9"/>
      <c r="K109" s="10"/>
      <c r="L109" s="10"/>
      <c r="M109" s="10"/>
      <c r="N109" s="10"/>
    </row>
    <row r="110" spans="1:14" s="8" customFormat="1" ht="19">
      <c r="A110" s="45"/>
      <c r="B110" s="43"/>
      <c r="C110" s="9"/>
      <c r="D110" s="9"/>
      <c r="E110" s="9"/>
      <c r="F110" s="9"/>
      <c r="G110" s="9"/>
      <c r="H110" s="9"/>
      <c r="I110" s="9"/>
      <c r="J110" s="9"/>
      <c r="K110" s="10"/>
      <c r="L110" s="10"/>
      <c r="M110" s="10"/>
      <c r="N110" s="10"/>
    </row>
    <row r="111" spans="1:14" s="8" customFormat="1" ht="19">
      <c r="A111" s="45"/>
      <c r="B111" s="43"/>
      <c r="C111" s="9"/>
      <c r="D111" s="9"/>
      <c r="E111" s="9"/>
      <c r="F111" s="9"/>
      <c r="G111" s="9"/>
      <c r="H111" s="9"/>
      <c r="I111" s="9"/>
      <c r="J111" s="9"/>
      <c r="K111" s="10"/>
      <c r="L111" s="10"/>
      <c r="M111" s="10"/>
      <c r="N111" s="10"/>
    </row>
    <row r="112" spans="1:14" s="8" customFormat="1" ht="19">
      <c r="A112" s="45"/>
      <c r="B112" s="43"/>
      <c r="C112" s="9"/>
      <c r="D112" s="9"/>
      <c r="E112" s="9"/>
      <c r="F112" s="9"/>
      <c r="G112" s="9"/>
      <c r="H112" s="9"/>
      <c r="I112" s="9"/>
      <c r="J112" s="9"/>
      <c r="K112" s="10"/>
      <c r="L112" s="10"/>
      <c r="M112" s="10"/>
      <c r="N112" s="10"/>
    </row>
    <row r="113" spans="1:14" s="8" customFormat="1" ht="19">
      <c r="A113" s="45"/>
      <c r="B113" s="43"/>
      <c r="C113" s="9"/>
      <c r="D113" s="9"/>
      <c r="E113" s="9"/>
      <c r="F113" s="9"/>
      <c r="G113" s="9"/>
      <c r="H113" s="9"/>
      <c r="I113" s="9"/>
      <c r="J113" s="9"/>
      <c r="K113" s="10"/>
      <c r="L113" s="10"/>
      <c r="M113" s="10"/>
      <c r="N113" s="10"/>
    </row>
    <row r="114" spans="1:14" s="8" customFormat="1" ht="19">
      <c r="A114" s="45"/>
      <c r="B114" s="43"/>
      <c r="C114" s="9"/>
      <c r="D114" s="9"/>
      <c r="E114" s="9"/>
      <c r="F114" s="9"/>
      <c r="G114" s="9"/>
      <c r="H114" s="9"/>
      <c r="I114" s="9"/>
      <c r="J114" s="9"/>
      <c r="K114" s="10"/>
      <c r="L114" s="10"/>
      <c r="M114" s="10"/>
      <c r="N114" s="10"/>
    </row>
    <row r="115" spans="1:14" s="8" customFormat="1" ht="19">
      <c r="A115" s="45"/>
      <c r="B115" s="43"/>
      <c r="C115" s="9"/>
      <c r="D115" s="9"/>
      <c r="E115" s="9"/>
      <c r="F115" s="9"/>
      <c r="G115" s="9"/>
      <c r="H115" s="9"/>
      <c r="I115" s="9"/>
      <c r="J115" s="9"/>
      <c r="K115" s="10"/>
      <c r="L115" s="10"/>
      <c r="M115" s="10"/>
      <c r="N115" s="10"/>
    </row>
    <row r="116" spans="1:14" s="8" customFormat="1" ht="19">
      <c r="A116" s="45"/>
      <c r="B116" s="43"/>
      <c r="C116" s="9"/>
      <c r="D116" s="9"/>
      <c r="E116" s="9"/>
      <c r="F116" s="9"/>
      <c r="G116" s="9"/>
      <c r="H116" s="9"/>
      <c r="I116" s="9"/>
      <c r="J116" s="9"/>
      <c r="K116" s="10"/>
      <c r="L116" s="10"/>
      <c r="M116" s="10"/>
      <c r="N116" s="10"/>
    </row>
    <row r="117" spans="1:14" s="8" customFormat="1" ht="19">
      <c r="A117" s="45"/>
      <c r="B117" s="43"/>
      <c r="C117" s="9"/>
      <c r="D117" s="9"/>
      <c r="E117" s="9"/>
      <c r="F117" s="9"/>
      <c r="G117" s="9"/>
      <c r="H117" s="9"/>
      <c r="I117" s="9"/>
      <c r="J117" s="9"/>
      <c r="K117" s="10"/>
      <c r="L117" s="10"/>
      <c r="M117" s="10"/>
      <c r="N117" s="10"/>
    </row>
    <row r="118" spans="1:14" s="8" customFormat="1" ht="19">
      <c r="A118" s="45"/>
      <c r="B118" s="43"/>
      <c r="C118" s="9"/>
      <c r="D118" s="9"/>
      <c r="E118" s="9"/>
      <c r="F118" s="9"/>
      <c r="G118" s="9"/>
      <c r="H118" s="9"/>
      <c r="I118" s="9"/>
      <c r="J118" s="9"/>
      <c r="K118" s="10"/>
      <c r="L118" s="10"/>
      <c r="M118" s="10"/>
      <c r="N118" s="10"/>
    </row>
    <row r="119" spans="1:14" s="8" customFormat="1" ht="19">
      <c r="A119" s="45"/>
      <c r="B119" s="43"/>
      <c r="C119" s="9"/>
      <c r="D119" s="9"/>
      <c r="E119" s="9"/>
      <c r="F119" s="9"/>
      <c r="G119" s="9"/>
      <c r="H119" s="9"/>
      <c r="I119" s="9"/>
      <c r="J119" s="9"/>
      <c r="K119" s="10"/>
      <c r="L119" s="10"/>
      <c r="M119" s="10"/>
      <c r="N119" s="10"/>
    </row>
    <row r="120" spans="1:14" s="8" customFormat="1" ht="19">
      <c r="A120" s="45"/>
      <c r="B120" s="43"/>
      <c r="C120" s="9"/>
      <c r="D120" s="9"/>
      <c r="E120" s="9"/>
      <c r="F120" s="9"/>
      <c r="G120" s="9"/>
      <c r="H120" s="9"/>
      <c r="I120" s="9"/>
      <c r="J120" s="9"/>
      <c r="K120" s="10"/>
      <c r="L120" s="10"/>
      <c r="M120" s="10"/>
      <c r="N120" s="10"/>
    </row>
    <row r="121" spans="1:14" s="8" customFormat="1" ht="19">
      <c r="A121" s="45"/>
      <c r="B121" s="43"/>
      <c r="C121" s="9"/>
      <c r="D121" s="9"/>
      <c r="E121" s="9"/>
      <c r="F121" s="9"/>
      <c r="G121" s="9"/>
      <c r="H121" s="9"/>
      <c r="I121" s="9"/>
      <c r="J121" s="9"/>
      <c r="K121" s="10"/>
      <c r="L121" s="10"/>
      <c r="M121" s="10"/>
      <c r="N121" s="10"/>
    </row>
    <row r="122" spans="1:14" s="8" customFormat="1" ht="19">
      <c r="A122" s="45"/>
      <c r="B122" s="43"/>
      <c r="C122" s="9"/>
      <c r="D122" s="9"/>
      <c r="E122" s="9"/>
      <c r="F122" s="9"/>
      <c r="G122" s="9"/>
      <c r="H122" s="9"/>
      <c r="I122" s="9"/>
      <c r="J122" s="9"/>
      <c r="K122" s="10"/>
      <c r="L122" s="10"/>
      <c r="M122" s="10"/>
      <c r="N122" s="10"/>
    </row>
    <row r="123" spans="1:14" s="8" customFormat="1" ht="19">
      <c r="A123" s="45"/>
      <c r="B123" s="43"/>
      <c r="C123" s="9"/>
      <c r="D123" s="9"/>
      <c r="E123" s="9"/>
      <c r="F123" s="9"/>
      <c r="G123" s="9"/>
      <c r="H123" s="9"/>
      <c r="I123" s="9"/>
      <c r="J123" s="9"/>
      <c r="K123" s="10"/>
      <c r="L123" s="10"/>
      <c r="M123" s="10"/>
      <c r="N123" s="10"/>
    </row>
    <row r="124" spans="1:14" s="8" customFormat="1" ht="19">
      <c r="A124" s="45"/>
      <c r="B124" s="43"/>
      <c r="C124" s="9"/>
      <c r="D124" s="9"/>
      <c r="E124" s="9"/>
      <c r="F124" s="9"/>
      <c r="G124" s="9"/>
      <c r="H124" s="9"/>
      <c r="I124" s="9"/>
      <c r="J124" s="9"/>
      <c r="K124" s="10"/>
      <c r="L124" s="10"/>
      <c r="M124" s="10"/>
      <c r="N124" s="10"/>
    </row>
    <row r="125" spans="1:14" s="8" customFormat="1" ht="19">
      <c r="A125" s="45"/>
      <c r="B125" s="43"/>
      <c r="C125" s="9"/>
      <c r="D125" s="9"/>
      <c r="E125" s="9"/>
      <c r="F125" s="9"/>
      <c r="G125" s="9"/>
      <c r="H125" s="9"/>
      <c r="I125" s="9"/>
      <c r="J125" s="9"/>
      <c r="K125" s="10"/>
      <c r="L125" s="10"/>
      <c r="M125" s="10"/>
      <c r="N125" s="10"/>
    </row>
    <row r="126" spans="1:14" s="8" customFormat="1" ht="19">
      <c r="A126" s="45"/>
      <c r="B126" s="43"/>
      <c r="C126" s="9"/>
      <c r="D126" s="9"/>
      <c r="E126" s="9"/>
      <c r="F126" s="9"/>
      <c r="G126" s="9"/>
      <c r="H126" s="9"/>
      <c r="I126" s="9"/>
      <c r="J126" s="9"/>
      <c r="K126" s="10"/>
      <c r="L126" s="10"/>
      <c r="M126" s="10"/>
      <c r="N126" s="10"/>
    </row>
    <row r="127" spans="1:14" s="8" customFormat="1" ht="19">
      <c r="A127" s="45"/>
      <c r="B127" s="43"/>
      <c r="C127" s="9"/>
      <c r="D127" s="9"/>
      <c r="E127" s="9"/>
      <c r="F127" s="9"/>
      <c r="G127" s="9"/>
      <c r="H127" s="9"/>
      <c r="I127" s="9"/>
      <c r="J127" s="9"/>
      <c r="K127" s="10"/>
      <c r="L127" s="10"/>
      <c r="M127" s="10"/>
      <c r="N127" s="10"/>
    </row>
    <row r="128" spans="1:14" s="8" customFormat="1" ht="19">
      <c r="A128" s="45"/>
      <c r="B128" s="43"/>
      <c r="C128" s="9"/>
      <c r="D128" s="9"/>
      <c r="E128" s="9"/>
      <c r="F128" s="9"/>
      <c r="G128" s="9"/>
      <c r="H128" s="9"/>
      <c r="I128" s="9"/>
      <c r="J128" s="9"/>
      <c r="K128" s="10"/>
      <c r="L128" s="10"/>
      <c r="M128" s="10"/>
      <c r="N128" s="10"/>
    </row>
    <row r="129" spans="1:14" s="8" customFormat="1" ht="19">
      <c r="A129" s="45"/>
      <c r="B129" s="43"/>
      <c r="C129" s="9"/>
      <c r="D129" s="9"/>
      <c r="E129" s="9"/>
      <c r="F129" s="9"/>
      <c r="G129" s="9"/>
      <c r="H129" s="9"/>
      <c r="I129" s="9"/>
      <c r="J129" s="9"/>
      <c r="K129" s="10"/>
      <c r="L129" s="10"/>
      <c r="M129" s="10"/>
      <c r="N129" s="10"/>
    </row>
    <row r="130" spans="1:14" s="8" customFormat="1" ht="19">
      <c r="A130" s="45"/>
      <c r="B130" s="43"/>
      <c r="C130" s="9"/>
      <c r="D130" s="9"/>
      <c r="E130" s="9"/>
      <c r="F130" s="9"/>
      <c r="G130" s="9"/>
      <c r="H130" s="9"/>
      <c r="I130" s="9"/>
      <c r="J130" s="9"/>
      <c r="K130" s="10"/>
      <c r="L130" s="10"/>
      <c r="M130" s="10"/>
      <c r="N130" s="10"/>
    </row>
    <row r="131" spans="1:14" s="8" customFormat="1" ht="19">
      <c r="A131" s="45"/>
      <c r="B131" s="43"/>
      <c r="C131" s="9"/>
      <c r="D131" s="9"/>
      <c r="E131" s="9"/>
      <c r="F131" s="9"/>
      <c r="G131" s="9"/>
      <c r="H131" s="9"/>
      <c r="I131" s="9"/>
      <c r="J131" s="9"/>
      <c r="K131" s="10"/>
      <c r="L131" s="10"/>
      <c r="M131" s="10"/>
      <c r="N131" s="10"/>
    </row>
    <row r="132" spans="1:14" s="8" customFormat="1" ht="19">
      <c r="A132" s="45"/>
      <c r="B132" s="43"/>
      <c r="C132" s="9"/>
      <c r="D132" s="9"/>
      <c r="E132" s="9"/>
      <c r="F132" s="9"/>
      <c r="G132" s="9"/>
      <c r="H132" s="9"/>
      <c r="I132" s="9"/>
      <c r="J132" s="9"/>
      <c r="K132" s="10"/>
      <c r="L132" s="10"/>
      <c r="M132" s="10"/>
      <c r="N132" s="10"/>
    </row>
    <row r="133" spans="1:14" s="8" customFormat="1" ht="19">
      <c r="A133" s="45"/>
      <c r="B133" s="43"/>
      <c r="C133" s="9"/>
      <c r="D133" s="9"/>
      <c r="E133" s="9"/>
      <c r="F133" s="9"/>
      <c r="G133" s="9"/>
      <c r="H133" s="9"/>
      <c r="I133" s="9"/>
      <c r="J133" s="9"/>
      <c r="K133" s="10"/>
      <c r="L133" s="10"/>
      <c r="M133" s="10"/>
      <c r="N133" s="10"/>
    </row>
    <row r="134" spans="1:14" s="8" customFormat="1" ht="19">
      <c r="A134" s="45"/>
      <c r="B134" s="43"/>
      <c r="C134" s="9"/>
      <c r="D134" s="9"/>
      <c r="E134" s="9"/>
      <c r="F134" s="9"/>
      <c r="G134" s="9"/>
      <c r="H134" s="9"/>
      <c r="I134" s="9"/>
      <c r="J134" s="9"/>
      <c r="K134" s="10"/>
      <c r="L134" s="10"/>
      <c r="M134" s="10"/>
      <c r="N134" s="10"/>
    </row>
    <row r="135" spans="1:14" s="8" customFormat="1" ht="19">
      <c r="A135" s="45"/>
      <c r="B135" s="43"/>
      <c r="C135" s="9"/>
      <c r="D135" s="9"/>
      <c r="E135" s="9"/>
      <c r="F135" s="9"/>
      <c r="G135" s="9"/>
      <c r="H135" s="9"/>
      <c r="I135" s="9"/>
      <c r="J135" s="9"/>
      <c r="K135" s="10"/>
      <c r="L135" s="10"/>
      <c r="M135" s="10"/>
      <c r="N135" s="10"/>
    </row>
    <row r="136" spans="1:14" s="8" customFormat="1" ht="19">
      <c r="A136" s="45"/>
      <c r="B136" s="43"/>
      <c r="C136" s="9"/>
      <c r="D136" s="9"/>
      <c r="E136" s="9"/>
      <c r="F136" s="9"/>
      <c r="G136" s="9"/>
      <c r="H136" s="9"/>
      <c r="I136" s="9"/>
      <c r="J136" s="9"/>
      <c r="K136" s="10"/>
      <c r="L136" s="10"/>
      <c r="M136" s="10"/>
      <c r="N136" s="10"/>
    </row>
    <row r="137" spans="1:14" s="8" customFormat="1" ht="19">
      <c r="A137" s="45"/>
      <c r="B137" s="43"/>
      <c r="C137" s="9"/>
      <c r="D137" s="9"/>
      <c r="E137" s="9"/>
      <c r="F137" s="9"/>
      <c r="G137" s="9"/>
      <c r="H137" s="9"/>
      <c r="I137" s="9"/>
      <c r="J137" s="9"/>
      <c r="K137" s="10"/>
      <c r="L137" s="10"/>
      <c r="M137" s="10"/>
      <c r="N137" s="10"/>
    </row>
    <row r="138" spans="1:14" s="8" customFormat="1" ht="19">
      <c r="A138" s="45"/>
      <c r="B138" s="43"/>
      <c r="C138" s="9"/>
      <c r="D138" s="9"/>
      <c r="E138" s="9"/>
      <c r="F138" s="9"/>
      <c r="G138" s="9"/>
      <c r="H138" s="9"/>
      <c r="I138" s="9"/>
      <c r="J138" s="9"/>
      <c r="K138" s="10"/>
      <c r="L138" s="10"/>
      <c r="M138" s="10"/>
      <c r="N138" s="10"/>
    </row>
    <row r="139" spans="1:14" s="8" customFormat="1" ht="19">
      <c r="A139" s="45"/>
      <c r="B139" s="43"/>
      <c r="C139" s="9"/>
      <c r="D139" s="9"/>
      <c r="E139" s="9"/>
      <c r="F139" s="9"/>
      <c r="G139" s="9"/>
      <c r="H139" s="9"/>
      <c r="I139" s="9"/>
      <c r="J139" s="9"/>
      <c r="K139" s="10"/>
      <c r="L139" s="10"/>
      <c r="M139" s="10"/>
      <c r="N139" s="10"/>
    </row>
    <row r="140" spans="1:14" s="8" customFormat="1" ht="19">
      <c r="A140" s="45"/>
      <c r="B140" s="43"/>
      <c r="C140" s="9"/>
      <c r="D140" s="9"/>
      <c r="E140" s="9"/>
      <c r="F140" s="9"/>
      <c r="G140" s="9"/>
      <c r="H140" s="9"/>
      <c r="I140" s="9"/>
      <c r="J140" s="9"/>
      <c r="K140" s="10"/>
      <c r="L140" s="10"/>
      <c r="M140" s="10"/>
      <c r="N140" s="10"/>
    </row>
    <row r="141" spans="1:14" s="8" customFormat="1" ht="19">
      <c r="A141" s="45"/>
      <c r="B141" s="43"/>
      <c r="C141" s="9"/>
      <c r="D141" s="9"/>
      <c r="E141" s="9"/>
      <c r="F141" s="9"/>
      <c r="G141" s="9"/>
      <c r="H141" s="9"/>
      <c r="I141" s="9"/>
      <c r="J141" s="9"/>
      <c r="K141" s="10"/>
      <c r="L141" s="10"/>
      <c r="M141" s="10"/>
      <c r="N141" s="10"/>
    </row>
    <row r="142" spans="1:14" s="8" customFormat="1" ht="19">
      <c r="A142" s="45"/>
      <c r="B142" s="43"/>
      <c r="C142" s="9"/>
      <c r="D142" s="9"/>
      <c r="E142" s="9"/>
      <c r="F142" s="9"/>
      <c r="G142" s="9"/>
      <c r="H142" s="9"/>
      <c r="I142" s="9"/>
      <c r="J142" s="9"/>
      <c r="K142" s="10"/>
      <c r="L142" s="10"/>
      <c r="M142" s="10"/>
      <c r="N142" s="10"/>
    </row>
    <row r="143" spans="1:14" s="8" customFormat="1" ht="19">
      <c r="A143" s="45"/>
      <c r="B143" s="43"/>
      <c r="C143" s="9"/>
      <c r="D143" s="9"/>
      <c r="E143" s="9"/>
      <c r="F143" s="9"/>
      <c r="G143" s="9"/>
      <c r="H143" s="9"/>
      <c r="I143" s="9"/>
      <c r="J143" s="9"/>
      <c r="K143" s="10"/>
      <c r="L143" s="10"/>
      <c r="M143" s="10"/>
      <c r="N143" s="10"/>
    </row>
    <row r="144" spans="1:14" s="8" customFormat="1" ht="19">
      <c r="A144" s="45"/>
      <c r="B144" s="43"/>
      <c r="C144" s="9"/>
      <c r="D144" s="9"/>
      <c r="E144" s="9"/>
      <c r="F144" s="9"/>
      <c r="G144" s="9"/>
      <c r="H144" s="9"/>
      <c r="I144" s="9"/>
      <c r="J144" s="9"/>
      <c r="K144" s="10"/>
      <c r="L144" s="10"/>
      <c r="M144" s="10"/>
      <c r="N144" s="10"/>
    </row>
    <row r="145" spans="1:14" s="8" customFormat="1" ht="19">
      <c r="A145" s="45"/>
      <c r="B145" s="43"/>
      <c r="C145" s="9"/>
      <c r="D145" s="9"/>
      <c r="E145" s="9"/>
      <c r="F145" s="9"/>
      <c r="G145" s="9"/>
      <c r="H145" s="9"/>
      <c r="I145" s="9"/>
      <c r="J145" s="9"/>
      <c r="K145" s="10"/>
      <c r="L145" s="10"/>
      <c r="M145" s="10"/>
      <c r="N145" s="10"/>
    </row>
    <row r="146" spans="1:14" s="8" customFormat="1" ht="19">
      <c r="A146" s="45"/>
      <c r="B146" s="43"/>
      <c r="C146" s="9"/>
      <c r="D146" s="9"/>
      <c r="E146" s="9"/>
      <c r="F146" s="9"/>
      <c r="G146" s="9"/>
      <c r="H146" s="9"/>
      <c r="I146" s="9"/>
      <c r="J146" s="9"/>
      <c r="K146" s="10"/>
      <c r="L146" s="10"/>
      <c r="M146" s="10"/>
      <c r="N146" s="10"/>
    </row>
    <row r="147" spans="1:14" s="8" customFormat="1" ht="19">
      <c r="A147" s="45"/>
      <c r="B147" s="43"/>
      <c r="C147" s="9"/>
      <c r="D147" s="9"/>
      <c r="E147" s="9"/>
      <c r="F147" s="9"/>
      <c r="G147" s="9"/>
      <c r="H147" s="9"/>
      <c r="I147" s="9"/>
      <c r="J147" s="9"/>
      <c r="K147" s="10"/>
      <c r="L147" s="10"/>
      <c r="M147" s="10"/>
      <c r="N147" s="10"/>
    </row>
    <row r="148" spans="1:14" s="8" customFormat="1" ht="19">
      <c r="A148" s="45"/>
      <c r="B148" s="43"/>
      <c r="C148" s="9"/>
      <c r="D148" s="9"/>
      <c r="E148" s="9"/>
      <c r="F148" s="9"/>
      <c r="G148" s="9"/>
      <c r="H148" s="9"/>
      <c r="I148" s="9"/>
      <c r="J148" s="9"/>
      <c r="K148" s="10"/>
      <c r="L148" s="10"/>
      <c r="M148" s="10"/>
      <c r="N148" s="10"/>
    </row>
    <row r="149" spans="1:14" s="8" customFormat="1" ht="19">
      <c r="A149" s="45"/>
      <c r="B149" s="43"/>
      <c r="C149" s="9"/>
      <c r="D149" s="9"/>
      <c r="E149" s="9"/>
      <c r="F149" s="9"/>
      <c r="G149" s="9"/>
      <c r="H149" s="9"/>
      <c r="I149" s="9"/>
      <c r="J149" s="9"/>
      <c r="K149" s="10"/>
      <c r="L149" s="10"/>
      <c r="M149" s="10"/>
      <c r="N149" s="10"/>
    </row>
    <row r="150" spans="1:14" s="8" customFormat="1" ht="19">
      <c r="A150" s="45"/>
      <c r="B150" s="43"/>
      <c r="C150" s="9"/>
      <c r="D150" s="9"/>
      <c r="E150" s="9"/>
      <c r="F150" s="9"/>
      <c r="G150" s="9"/>
      <c r="H150" s="9"/>
      <c r="I150" s="9"/>
      <c r="J150" s="9"/>
      <c r="K150" s="10"/>
      <c r="L150" s="10"/>
      <c r="M150" s="10"/>
      <c r="N150" s="10"/>
    </row>
    <row r="151" spans="1:14" s="8" customFormat="1" ht="19">
      <c r="A151" s="45"/>
      <c r="B151" s="43"/>
      <c r="C151" s="9"/>
      <c r="D151" s="9"/>
      <c r="E151" s="9"/>
      <c r="F151" s="9"/>
      <c r="G151" s="9"/>
      <c r="H151" s="9"/>
      <c r="I151" s="9"/>
      <c r="J151" s="9"/>
      <c r="K151" s="10"/>
      <c r="L151" s="10"/>
      <c r="M151" s="10"/>
      <c r="N151" s="10"/>
    </row>
    <row r="152" spans="1:14" s="8" customFormat="1" ht="19">
      <c r="A152" s="45"/>
      <c r="B152" s="43"/>
      <c r="C152" s="9"/>
      <c r="D152" s="9"/>
      <c r="E152" s="9"/>
      <c r="F152" s="9"/>
      <c r="G152" s="9"/>
      <c r="H152" s="9"/>
      <c r="I152" s="9"/>
      <c r="J152" s="9"/>
      <c r="K152" s="10"/>
      <c r="L152" s="10"/>
      <c r="M152" s="10"/>
      <c r="N152" s="10"/>
    </row>
    <row r="153" spans="1:14" s="8" customFormat="1" ht="19">
      <c r="A153" s="45"/>
      <c r="B153" s="43"/>
      <c r="C153" s="9"/>
      <c r="D153" s="9"/>
      <c r="E153" s="9"/>
      <c r="F153" s="9"/>
      <c r="G153" s="9"/>
      <c r="H153" s="9"/>
      <c r="I153" s="9"/>
      <c r="J153" s="9"/>
      <c r="K153" s="10"/>
      <c r="L153" s="10"/>
      <c r="M153" s="10"/>
      <c r="N153" s="10"/>
    </row>
    <row r="154" spans="1:14" s="8" customFormat="1" ht="19">
      <c r="A154" s="45"/>
      <c r="B154" s="43"/>
      <c r="C154" s="9"/>
      <c r="D154" s="9"/>
      <c r="E154" s="9"/>
      <c r="F154" s="9"/>
      <c r="G154" s="9"/>
      <c r="H154" s="9"/>
      <c r="I154" s="9"/>
      <c r="J154" s="9"/>
      <c r="K154" s="10"/>
      <c r="L154" s="10"/>
      <c r="M154" s="10"/>
      <c r="N154" s="10"/>
    </row>
    <row r="155" spans="1:14" s="8" customFormat="1" ht="19">
      <c r="A155" s="45"/>
      <c r="B155" s="43"/>
      <c r="C155" s="9"/>
      <c r="D155" s="9"/>
      <c r="E155" s="9"/>
      <c r="F155" s="9"/>
      <c r="G155" s="9"/>
      <c r="H155" s="9"/>
      <c r="I155" s="9"/>
      <c r="J155" s="9"/>
      <c r="K155" s="10"/>
      <c r="L155" s="10"/>
      <c r="M155" s="10"/>
      <c r="N155" s="10"/>
    </row>
    <row r="156" spans="1:14" s="8" customFormat="1" ht="19">
      <c r="A156" s="45"/>
      <c r="B156" s="43"/>
      <c r="C156" s="9"/>
      <c r="D156" s="9"/>
      <c r="E156" s="9"/>
      <c r="F156" s="9"/>
      <c r="G156" s="9"/>
      <c r="H156" s="9"/>
      <c r="I156" s="9"/>
      <c r="J156" s="9"/>
      <c r="K156" s="10"/>
      <c r="L156" s="10"/>
      <c r="M156" s="10"/>
      <c r="N156" s="10"/>
    </row>
    <row r="157" spans="1:14" s="8" customFormat="1" ht="19">
      <c r="A157" s="45"/>
      <c r="B157" s="43"/>
      <c r="C157" s="9"/>
      <c r="D157" s="9"/>
      <c r="E157" s="9"/>
      <c r="F157" s="9"/>
      <c r="G157" s="9"/>
      <c r="H157" s="9"/>
      <c r="I157" s="9"/>
      <c r="J157" s="9"/>
      <c r="K157" s="10"/>
      <c r="L157" s="10"/>
      <c r="M157" s="10"/>
      <c r="N157" s="10"/>
    </row>
    <row r="158" spans="1:14" s="8" customFormat="1" ht="19">
      <c r="A158" s="45"/>
      <c r="B158" s="43"/>
      <c r="C158" s="9"/>
      <c r="D158" s="9"/>
      <c r="E158" s="9"/>
      <c r="F158" s="9"/>
      <c r="G158" s="9"/>
      <c r="H158" s="9"/>
      <c r="I158" s="9"/>
      <c r="J158" s="9"/>
      <c r="K158" s="10"/>
      <c r="L158" s="10"/>
      <c r="M158" s="10"/>
      <c r="N158" s="10"/>
    </row>
    <row r="159" spans="1:14" s="8" customFormat="1" ht="19">
      <c r="A159" s="45"/>
      <c r="B159" s="43"/>
      <c r="C159" s="9"/>
      <c r="D159" s="9"/>
      <c r="E159" s="9"/>
      <c r="F159" s="9"/>
      <c r="G159" s="9"/>
      <c r="H159" s="9"/>
      <c r="I159" s="9"/>
      <c r="J159" s="9"/>
      <c r="K159" s="10"/>
      <c r="L159" s="10"/>
      <c r="M159" s="10"/>
      <c r="N159" s="10"/>
    </row>
    <row r="160" spans="1:14" s="8" customFormat="1" ht="19">
      <c r="A160" s="45"/>
      <c r="B160" s="43"/>
      <c r="C160" s="9"/>
      <c r="D160" s="9"/>
      <c r="E160" s="9"/>
      <c r="F160" s="9"/>
      <c r="G160" s="9"/>
      <c r="H160" s="9"/>
      <c r="I160" s="9"/>
      <c r="J160" s="9"/>
      <c r="K160" s="10"/>
      <c r="L160" s="10"/>
      <c r="M160" s="10"/>
      <c r="N160" s="10"/>
    </row>
    <row r="161" spans="1:14" s="8" customFormat="1" ht="19">
      <c r="A161" s="45"/>
      <c r="B161" s="43"/>
      <c r="C161" s="9"/>
      <c r="D161" s="9"/>
      <c r="E161" s="9"/>
      <c r="F161" s="9"/>
      <c r="G161" s="9"/>
      <c r="H161" s="9"/>
      <c r="I161" s="9"/>
      <c r="J161" s="9"/>
      <c r="K161" s="10"/>
      <c r="L161" s="10"/>
      <c r="M161" s="10"/>
      <c r="N161" s="10"/>
    </row>
    <row r="162" spans="1:14" s="8" customFormat="1" ht="19">
      <c r="A162" s="45"/>
      <c r="B162" s="43"/>
      <c r="C162" s="9"/>
      <c r="D162" s="9"/>
      <c r="E162" s="9"/>
      <c r="F162" s="9"/>
      <c r="G162" s="9"/>
      <c r="H162" s="9"/>
      <c r="I162" s="9"/>
      <c r="J162" s="9"/>
      <c r="K162" s="10"/>
      <c r="L162" s="10"/>
      <c r="M162" s="10"/>
      <c r="N162" s="10"/>
    </row>
    <row r="163" spans="1:14" s="8" customFormat="1" ht="19">
      <c r="A163" s="45"/>
      <c r="B163" s="43"/>
      <c r="C163" s="9"/>
      <c r="D163" s="9"/>
      <c r="E163" s="9"/>
      <c r="F163" s="9"/>
      <c r="G163" s="9"/>
      <c r="H163" s="9"/>
      <c r="I163" s="9"/>
      <c r="J163" s="9"/>
      <c r="K163" s="10"/>
      <c r="L163" s="10"/>
      <c r="M163" s="10"/>
      <c r="N163" s="10"/>
    </row>
    <row r="164" spans="1:14" s="8" customFormat="1" ht="19">
      <c r="A164" s="45"/>
      <c r="B164" s="43"/>
      <c r="C164" s="9"/>
      <c r="D164" s="9"/>
      <c r="E164" s="9"/>
      <c r="F164" s="9"/>
      <c r="G164" s="9"/>
      <c r="H164" s="9"/>
      <c r="I164" s="9"/>
      <c r="J164" s="9"/>
      <c r="K164" s="10"/>
      <c r="L164" s="10"/>
      <c r="M164" s="10"/>
      <c r="N164" s="10"/>
    </row>
    <row r="165" spans="1:14" s="8" customFormat="1" ht="19">
      <c r="A165" s="45"/>
      <c r="B165" s="43"/>
      <c r="C165" s="9"/>
      <c r="D165" s="9"/>
      <c r="E165" s="9"/>
      <c r="F165" s="9"/>
      <c r="G165" s="9"/>
      <c r="H165" s="9"/>
      <c r="I165" s="9"/>
      <c r="J165" s="9"/>
      <c r="K165" s="10"/>
      <c r="L165" s="10"/>
      <c r="M165" s="10"/>
      <c r="N165" s="10"/>
    </row>
    <row r="166" spans="1:14" s="8" customFormat="1" ht="19">
      <c r="A166" s="45"/>
      <c r="B166" s="43"/>
      <c r="C166" s="9"/>
      <c r="D166" s="9"/>
      <c r="E166" s="9"/>
      <c r="F166" s="9"/>
      <c r="G166" s="9"/>
      <c r="H166" s="9"/>
      <c r="I166" s="9"/>
      <c r="J166" s="9"/>
      <c r="K166" s="10"/>
      <c r="L166" s="10"/>
      <c r="M166" s="10"/>
      <c r="N166" s="10"/>
    </row>
    <row r="167" spans="1:14" s="8" customFormat="1" ht="19">
      <c r="A167" s="45"/>
      <c r="B167" s="43"/>
      <c r="C167" s="9"/>
      <c r="D167" s="9"/>
      <c r="E167" s="9"/>
      <c r="F167" s="9"/>
      <c r="G167" s="9"/>
      <c r="H167" s="9"/>
      <c r="I167" s="9"/>
      <c r="J167" s="9"/>
      <c r="K167" s="10"/>
      <c r="L167" s="10"/>
      <c r="M167" s="10"/>
      <c r="N167" s="10"/>
    </row>
    <row r="168" spans="1:14" s="8" customFormat="1" ht="19">
      <c r="A168" s="45"/>
      <c r="B168" s="43"/>
      <c r="C168" s="9"/>
      <c r="D168" s="9"/>
      <c r="E168" s="9"/>
      <c r="F168" s="9"/>
      <c r="G168" s="9"/>
      <c r="H168" s="9"/>
      <c r="I168" s="9"/>
      <c r="J168" s="9"/>
      <c r="K168" s="10"/>
      <c r="L168" s="10"/>
      <c r="M168" s="10"/>
      <c r="N168" s="10"/>
    </row>
    <row r="169" spans="1:14" s="8" customFormat="1" ht="19">
      <c r="A169" s="45"/>
      <c r="B169" s="43"/>
      <c r="C169" s="9"/>
      <c r="D169" s="9"/>
      <c r="E169" s="9"/>
      <c r="F169" s="9"/>
      <c r="G169" s="9"/>
      <c r="H169" s="9"/>
      <c r="I169" s="9"/>
      <c r="J169" s="9"/>
      <c r="K169" s="10"/>
      <c r="L169" s="10"/>
      <c r="M169" s="10"/>
      <c r="N169" s="10"/>
    </row>
    <row r="170" spans="1:14" s="8" customFormat="1" ht="19">
      <c r="A170" s="45"/>
      <c r="B170" s="43"/>
      <c r="C170" s="9"/>
      <c r="D170" s="9"/>
      <c r="E170" s="9"/>
      <c r="F170" s="9"/>
      <c r="G170" s="9"/>
      <c r="H170" s="9"/>
      <c r="I170" s="9"/>
      <c r="J170" s="9"/>
      <c r="K170" s="10"/>
      <c r="L170" s="10"/>
      <c r="M170" s="10"/>
      <c r="N170" s="10"/>
    </row>
    <row r="171" spans="1:14" s="8" customFormat="1" ht="19">
      <c r="A171" s="45"/>
      <c r="B171" s="43"/>
      <c r="C171" s="9"/>
      <c r="D171" s="9"/>
      <c r="E171" s="9"/>
      <c r="F171" s="9"/>
      <c r="G171" s="9"/>
      <c r="H171" s="9"/>
      <c r="I171" s="9"/>
      <c r="J171" s="9"/>
      <c r="K171" s="10"/>
      <c r="L171" s="10"/>
      <c r="M171" s="10"/>
      <c r="N171" s="10"/>
    </row>
    <row r="172" spans="1:14" s="8" customFormat="1" ht="19">
      <c r="A172" s="45"/>
      <c r="B172" s="43"/>
      <c r="C172" s="9"/>
      <c r="D172" s="9"/>
      <c r="E172" s="9"/>
      <c r="F172" s="9"/>
      <c r="G172" s="9"/>
      <c r="H172" s="9"/>
      <c r="I172" s="9"/>
      <c r="J172" s="9"/>
      <c r="K172" s="10"/>
      <c r="L172" s="10"/>
      <c r="M172" s="10"/>
      <c r="N172" s="10"/>
    </row>
    <row r="173" spans="1:14" s="8" customFormat="1" ht="19">
      <c r="A173" s="45"/>
      <c r="B173" s="43"/>
      <c r="C173" s="9"/>
      <c r="D173" s="9"/>
      <c r="E173" s="9"/>
      <c r="F173" s="9"/>
      <c r="G173" s="9"/>
      <c r="H173" s="9"/>
      <c r="I173" s="9"/>
      <c r="J173" s="9"/>
      <c r="K173" s="10"/>
      <c r="L173" s="10"/>
      <c r="M173" s="10"/>
      <c r="N173" s="10"/>
    </row>
    <row r="174" spans="1:14" s="8" customFormat="1" ht="19">
      <c r="A174" s="45"/>
      <c r="B174" s="43"/>
      <c r="C174" s="9"/>
      <c r="D174" s="9"/>
      <c r="E174" s="9"/>
      <c r="F174" s="9"/>
      <c r="G174" s="9"/>
      <c r="H174" s="9"/>
      <c r="I174" s="9"/>
      <c r="J174" s="9"/>
      <c r="K174" s="10"/>
      <c r="L174" s="10"/>
      <c r="M174" s="10"/>
      <c r="N174" s="10"/>
    </row>
    <row r="175" spans="1:14" s="8" customFormat="1" ht="19">
      <c r="A175" s="45"/>
      <c r="B175" s="43"/>
      <c r="C175" s="9"/>
      <c r="D175" s="9"/>
      <c r="E175" s="9"/>
      <c r="F175" s="9"/>
      <c r="G175" s="9"/>
      <c r="H175" s="9"/>
      <c r="I175" s="9"/>
      <c r="J175" s="9"/>
      <c r="K175" s="10"/>
      <c r="L175" s="10"/>
      <c r="M175" s="10"/>
      <c r="N175" s="10"/>
    </row>
    <row r="176" spans="1:14" s="8" customFormat="1" ht="19">
      <c r="A176" s="45"/>
      <c r="B176" s="43"/>
      <c r="C176" s="9"/>
      <c r="D176" s="9"/>
      <c r="E176" s="9"/>
      <c r="F176" s="9"/>
      <c r="G176" s="9"/>
      <c r="H176" s="9"/>
      <c r="I176" s="9"/>
      <c r="J176" s="9"/>
      <c r="K176" s="10"/>
      <c r="L176" s="10"/>
      <c r="M176" s="10"/>
      <c r="N176" s="10"/>
    </row>
    <row r="177" spans="1:14" s="8" customFormat="1" ht="19">
      <c r="A177" s="45"/>
      <c r="B177" s="43"/>
      <c r="C177" s="9"/>
      <c r="D177" s="9"/>
      <c r="E177" s="9"/>
      <c r="F177" s="9"/>
      <c r="G177" s="9"/>
      <c r="H177" s="9"/>
      <c r="I177" s="9"/>
      <c r="J177" s="9"/>
      <c r="K177" s="10"/>
      <c r="L177" s="10"/>
      <c r="M177" s="10"/>
      <c r="N177" s="10"/>
    </row>
    <row r="178" spans="1:14" s="8" customFormat="1" ht="19">
      <c r="A178" s="45"/>
      <c r="B178" s="43"/>
      <c r="C178" s="9"/>
      <c r="D178" s="9"/>
      <c r="E178" s="9"/>
      <c r="F178" s="9"/>
      <c r="G178" s="9"/>
      <c r="H178" s="9"/>
      <c r="I178" s="9"/>
      <c r="J178" s="9"/>
      <c r="K178" s="10"/>
      <c r="L178" s="10"/>
      <c r="M178" s="10"/>
      <c r="N178" s="10"/>
    </row>
    <row r="179" spans="1:14" s="8" customFormat="1" ht="19">
      <c r="A179" s="45"/>
      <c r="B179" s="43"/>
      <c r="C179" s="9"/>
      <c r="D179" s="9"/>
      <c r="E179" s="9"/>
      <c r="F179" s="9"/>
      <c r="G179" s="9"/>
      <c r="H179" s="9"/>
      <c r="I179" s="9"/>
      <c r="J179" s="9"/>
      <c r="K179" s="10"/>
      <c r="L179" s="10"/>
      <c r="M179" s="10"/>
      <c r="N179" s="10"/>
    </row>
    <row r="180" spans="1:14" s="8" customFormat="1" ht="19">
      <c r="A180" s="45"/>
      <c r="B180" s="43"/>
      <c r="C180" s="9"/>
      <c r="D180" s="9"/>
      <c r="E180" s="9"/>
      <c r="F180" s="9"/>
      <c r="G180" s="9"/>
      <c r="H180" s="9"/>
      <c r="I180" s="9"/>
      <c r="J180" s="9"/>
      <c r="K180" s="10"/>
      <c r="L180" s="10"/>
      <c r="M180" s="10"/>
      <c r="N180" s="10"/>
    </row>
    <row r="181" spans="1:14" s="8" customFormat="1" ht="19">
      <c r="A181" s="45"/>
      <c r="B181" s="43"/>
      <c r="C181" s="9"/>
      <c r="D181" s="9"/>
      <c r="E181" s="9"/>
      <c r="F181" s="9"/>
      <c r="G181" s="9"/>
      <c r="H181" s="9"/>
      <c r="I181" s="9"/>
      <c r="J181" s="9"/>
      <c r="K181" s="10"/>
      <c r="L181" s="10"/>
      <c r="M181" s="10"/>
      <c r="N181" s="10"/>
    </row>
    <row r="182" spans="1:14" s="8" customFormat="1" ht="19">
      <c r="A182" s="45"/>
      <c r="B182" s="43"/>
      <c r="C182" s="9"/>
      <c r="D182" s="9"/>
      <c r="E182" s="9"/>
      <c r="F182" s="9"/>
      <c r="G182" s="9"/>
      <c r="H182" s="9"/>
      <c r="I182" s="9"/>
      <c r="J182" s="9"/>
      <c r="K182" s="10"/>
      <c r="L182" s="10"/>
      <c r="M182" s="10"/>
      <c r="N182" s="10"/>
    </row>
    <row r="183" spans="1:14" s="8" customFormat="1" ht="19">
      <c r="A183" s="45"/>
      <c r="B183" s="43"/>
      <c r="C183" s="9"/>
      <c r="D183" s="9"/>
      <c r="E183" s="9"/>
      <c r="F183" s="9"/>
      <c r="G183" s="9"/>
      <c r="H183" s="9"/>
      <c r="I183" s="9"/>
      <c r="J183" s="9"/>
      <c r="K183" s="10"/>
      <c r="L183" s="10"/>
      <c r="M183" s="10"/>
      <c r="N183" s="10"/>
    </row>
    <row r="184" spans="1:14" s="8" customFormat="1" ht="19">
      <c r="A184" s="45"/>
      <c r="B184" s="43"/>
      <c r="C184" s="9"/>
      <c r="D184" s="9"/>
      <c r="E184" s="9"/>
      <c r="F184" s="9"/>
      <c r="G184" s="9"/>
      <c r="H184" s="9"/>
      <c r="I184" s="9"/>
      <c r="J184" s="9"/>
      <c r="K184" s="10"/>
      <c r="L184" s="10"/>
      <c r="M184" s="10"/>
      <c r="N184" s="10"/>
    </row>
    <row r="185" spans="1:14" s="8" customFormat="1" ht="19">
      <c r="A185" s="45"/>
      <c r="B185" s="43"/>
      <c r="C185" s="9"/>
      <c r="D185" s="9"/>
      <c r="E185" s="9"/>
      <c r="F185" s="9"/>
      <c r="G185" s="9"/>
      <c r="H185" s="9"/>
      <c r="I185" s="9"/>
      <c r="J185" s="9"/>
      <c r="K185" s="10"/>
      <c r="L185" s="10"/>
      <c r="M185" s="10"/>
      <c r="N185" s="10"/>
    </row>
    <row r="186" spans="1:14" s="8" customFormat="1" ht="19">
      <c r="A186" s="45"/>
      <c r="B186" s="43"/>
      <c r="C186" s="9"/>
      <c r="D186" s="9"/>
      <c r="E186" s="9"/>
      <c r="F186" s="9"/>
      <c r="G186" s="9"/>
      <c r="H186" s="9"/>
      <c r="I186" s="9"/>
      <c r="J186" s="9"/>
      <c r="K186" s="10"/>
      <c r="L186" s="10"/>
      <c r="M186" s="10"/>
      <c r="N186" s="10"/>
    </row>
    <row r="187" spans="1:14" s="8" customFormat="1" ht="19">
      <c r="A187" s="45"/>
      <c r="B187" s="43"/>
      <c r="C187" s="9"/>
      <c r="D187" s="9"/>
      <c r="E187" s="9"/>
      <c r="F187" s="9"/>
      <c r="G187" s="9"/>
      <c r="H187" s="9"/>
      <c r="I187" s="9"/>
      <c r="J187" s="9"/>
      <c r="K187" s="10"/>
      <c r="L187" s="10"/>
      <c r="M187" s="10"/>
      <c r="N187" s="10"/>
    </row>
    <row r="188" spans="1:14" s="8" customFormat="1" ht="19">
      <c r="A188" s="45"/>
      <c r="B188" s="43"/>
      <c r="C188" s="9"/>
      <c r="D188" s="9"/>
      <c r="E188" s="9"/>
      <c r="F188" s="9"/>
      <c r="G188" s="9"/>
      <c r="H188" s="9"/>
      <c r="I188" s="9"/>
      <c r="J188" s="9"/>
      <c r="K188" s="10"/>
      <c r="L188" s="10"/>
      <c r="M188" s="10"/>
      <c r="N188" s="10"/>
    </row>
    <row r="189" spans="1:14" s="8" customFormat="1" ht="19">
      <c r="A189" s="45"/>
      <c r="B189" s="43"/>
      <c r="C189" s="9"/>
      <c r="D189" s="9"/>
      <c r="E189" s="9"/>
      <c r="F189" s="9"/>
      <c r="G189" s="9"/>
      <c r="H189" s="9"/>
      <c r="I189" s="9"/>
      <c r="J189" s="9"/>
      <c r="K189" s="10"/>
      <c r="L189" s="10"/>
      <c r="M189" s="10"/>
      <c r="N189" s="10"/>
    </row>
    <row r="190" spans="1:14" s="8" customFormat="1" ht="19">
      <c r="A190" s="45"/>
      <c r="B190" s="43"/>
      <c r="C190" s="9"/>
      <c r="D190" s="9"/>
      <c r="E190" s="9"/>
      <c r="F190" s="9"/>
      <c r="G190" s="9"/>
      <c r="H190" s="9"/>
      <c r="I190" s="9"/>
      <c r="J190" s="9"/>
      <c r="K190" s="10"/>
      <c r="L190" s="10"/>
      <c r="M190" s="10"/>
      <c r="N190" s="10"/>
    </row>
    <row r="191" spans="1:14" s="8" customFormat="1" ht="19">
      <c r="A191" s="45"/>
      <c r="B191" s="43"/>
      <c r="C191" s="9"/>
      <c r="D191" s="9"/>
      <c r="E191" s="9"/>
      <c r="F191" s="9"/>
      <c r="G191" s="9"/>
      <c r="H191" s="9"/>
      <c r="I191" s="9"/>
      <c r="J191" s="9"/>
      <c r="K191" s="10"/>
      <c r="L191" s="10"/>
      <c r="M191" s="10"/>
      <c r="N191" s="10"/>
    </row>
    <row r="192" spans="1:14" s="8" customFormat="1" ht="19">
      <c r="A192" s="45"/>
      <c r="B192" s="43"/>
      <c r="C192" s="9"/>
      <c r="D192" s="9"/>
      <c r="E192" s="9"/>
      <c r="F192" s="9"/>
      <c r="G192" s="9"/>
      <c r="H192" s="9"/>
      <c r="I192" s="9"/>
      <c r="J192" s="9"/>
      <c r="K192" s="10"/>
      <c r="L192" s="10"/>
      <c r="M192" s="10"/>
      <c r="N192" s="10"/>
    </row>
    <row r="193" spans="1:14" s="8" customFormat="1" ht="19">
      <c r="A193" s="45"/>
      <c r="B193" s="43"/>
      <c r="C193" s="9"/>
      <c r="D193" s="9"/>
      <c r="E193" s="9"/>
      <c r="F193" s="9"/>
      <c r="G193" s="9"/>
      <c r="H193" s="9"/>
      <c r="I193" s="9"/>
      <c r="J193" s="9"/>
      <c r="K193" s="10"/>
      <c r="L193" s="10"/>
      <c r="M193" s="10"/>
      <c r="N193" s="10"/>
    </row>
    <row r="194" spans="1:14" s="8" customFormat="1" ht="19">
      <c r="A194" s="45"/>
      <c r="B194" s="43"/>
      <c r="C194" s="9"/>
      <c r="D194" s="9"/>
      <c r="E194" s="9"/>
      <c r="F194" s="9"/>
      <c r="G194" s="9"/>
      <c r="H194" s="9"/>
      <c r="I194" s="9"/>
      <c r="J194" s="9"/>
      <c r="K194" s="10"/>
      <c r="L194" s="10"/>
      <c r="M194" s="10"/>
      <c r="N194" s="10"/>
    </row>
    <row r="195" spans="1:14" s="8" customFormat="1" ht="19">
      <c r="A195" s="45"/>
      <c r="B195" s="43"/>
      <c r="C195" s="9"/>
      <c r="D195" s="9"/>
      <c r="E195" s="9"/>
      <c r="F195" s="9"/>
      <c r="G195" s="9"/>
      <c r="H195" s="9"/>
      <c r="I195" s="9"/>
      <c r="J195" s="9"/>
      <c r="K195" s="10"/>
      <c r="L195" s="10"/>
      <c r="M195" s="10"/>
      <c r="N195" s="10"/>
    </row>
    <row r="196" spans="1:14" s="8" customFormat="1" ht="19">
      <c r="A196" s="45"/>
      <c r="B196" s="43"/>
      <c r="C196" s="9"/>
      <c r="D196" s="9"/>
      <c r="E196" s="9"/>
      <c r="F196" s="9"/>
      <c r="G196" s="9"/>
      <c r="H196" s="9"/>
      <c r="I196" s="9"/>
      <c r="J196" s="9"/>
      <c r="K196" s="10"/>
      <c r="L196" s="10"/>
      <c r="M196" s="10"/>
      <c r="N196" s="10"/>
    </row>
    <row r="197" spans="1:14" s="8" customFormat="1" ht="19">
      <c r="A197" s="45"/>
      <c r="B197" s="43"/>
      <c r="C197" s="9"/>
      <c r="D197" s="9"/>
      <c r="E197" s="9"/>
      <c r="F197" s="9"/>
      <c r="G197" s="9"/>
      <c r="H197" s="9"/>
      <c r="I197" s="9"/>
      <c r="J197" s="9"/>
      <c r="K197" s="10"/>
      <c r="L197" s="10"/>
      <c r="M197" s="10"/>
      <c r="N197" s="10"/>
    </row>
    <row r="198" spans="1:14" s="8" customFormat="1" ht="19">
      <c r="A198" s="45"/>
      <c r="B198" s="43"/>
      <c r="C198" s="9"/>
      <c r="D198" s="9"/>
      <c r="E198" s="9"/>
      <c r="F198" s="9"/>
      <c r="G198" s="9"/>
      <c r="H198" s="9"/>
      <c r="I198" s="9"/>
      <c r="J198" s="9"/>
      <c r="K198" s="10"/>
      <c r="L198" s="10"/>
      <c r="M198" s="10"/>
      <c r="N198" s="10"/>
    </row>
    <row r="199" spans="1:14" s="8" customFormat="1" ht="19">
      <c r="A199" s="45"/>
      <c r="B199" s="43"/>
      <c r="C199" s="9"/>
      <c r="D199" s="9"/>
      <c r="E199" s="9"/>
      <c r="F199" s="9"/>
      <c r="G199" s="9"/>
      <c r="H199" s="9"/>
      <c r="I199" s="9"/>
      <c r="J199" s="9"/>
      <c r="K199" s="10"/>
      <c r="L199" s="10"/>
      <c r="M199" s="10"/>
      <c r="N199" s="10"/>
    </row>
    <row r="200" spans="1:14" s="8" customFormat="1" ht="19">
      <c r="A200" s="45"/>
      <c r="B200" s="43"/>
      <c r="C200" s="9"/>
      <c r="D200" s="9"/>
      <c r="E200" s="9"/>
      <c r="F200" s="9"/>
      <c r="G200" s="9"/>
      <c r="H200" s="9"/>
      <c r="I200" s="9"/>
      <c r="J200" s="9"/>
      <c r="K200" s="10"/>
      <c r="L200" s="10"/>
      <c r="M200" s="10"/>
      <c r="N200" s="10"/>
    </row>
    <row r="201" spans="1:14" s="8" customFormat="1" ht="19">
      <c r="A201" s="45"/>
      <c r="B201" s="43"/>
      <c r="C201" s="9"/>
      <c r="D201" s="9"/>
      <c r="E201" s="9"/>
      <c r="F201" s="9"/>
      <c r="G201" s="9"/>
      <c r="H201" s="9"/>
      <c r="I201" s="9"/>
      <c r="J201" s="9"/>
      <c r="K201" s="10"/>
      <c r="L201" s="10"/>
      <c r="M201" s="10"/>
      <c r="N201" s="10"/>
    </row>
    <row r="202" spans="1:14" s="8" customFormat="1" ht="19">
      <c r="A202" s="45"/>
      <c r="B202" s="43"/>
      <c r="C202" s="9"/>
      <c r="D202" s="9"/>
      <c r="E202" s="9"/>
      <c r="F202" s="9"/>
      <c r="G202" s="9"/>
      <c r="H202" s="9"/>
      <c r="I202" s="9"/>
      <c r="J202" s="9"/>
      <c r="K202" s="10"/>
      <c r="L202" s="10"/>
      <c r="M202" s="10"/>
      <c r="N202" s="10"/>
    </row>
    <row r="203" spans="1:14" s="8" customFormat="1" ht="19">
      <c r="A203" s="45"/>
      <c r="B203" s="43"/>
      <c r="C203" s="9"/>
      <c r="D203" s="9"/>
      <c r="E203" s="9"/>
      <c r="F203" s="9"/>
      <c r="G203" s="9"/>
      <c r="H203" s="9"/>
      <c r="I203" s="9"/>
      <c r="J203" s="9"/>
      <c r="K203" s="10"/>
      <c r="L203" s="10"/>
      <c r="M203" s="10"/>
      <c r="N203" s="10"/>
    </row>
    <row r="204" spans="1:14" s="8" customFormat="1" ht="19">
      <c r="A204" s="45"/>
      <c r="B204" s="43"/>
      <c r="C204" s="9"/>
      <c r="D204" s="9"/>
      <c r="E204" s="9"/>
      <c r="F204" s="9"/>
      <c r="G204" s="9"/>
      <c r="H204" s="9"/>
      <c r="I204" s="9"/>
      <c r="J204" s="9"/>
      <c r="K204" s="10"/>
      <c r="L204" s="10"/>
      <c r="M204" s="10"/>
      <c r="N204" s="10"/>
    </row>
    <row r="205" spans="1:14" s="8" customFormat="1" ht="19">
      <c r="A205" s="45"/>
      <c r="B205" s="43"/>
      <c r="C205" s="9"/>
      <c r="D205" s="9"/>
      <c r="E205" s="9"/>
      <c r="F205" s="9"/>
      <c r="G205" s="9"/>
      <c r="H205" s="9"/>
      <c r="I205" s="9"/>
      <c r="J205" s="9"/>
      <c r="K205" s="10"/>
      <c r="L205" s="10"/>
      <c r="M205" s="10"/>
      <c r="N205" s="10"/>
    </row>
    <row r="206" spans="1:14" s="8" customFormat="1" ht="19">
      <c r="A206" s="45"/>
      <c r="B206" s="43"/>
      <c r="C206" s="9"/>
      <c r="D206" s="9"/>
      <c r="E206" s="9"/>
      <c r="F206" s="9"/>
      <c r="G206" s="9"/>
      <c r="H206" s="9"/>
      <c r="I206" s="9"/>
      <c r="J206" s="9"/>
      <c r="K206" s="10"/>
      <c r="L206" s="10"/>
      <c r="M206" s="10"/>
      <c r="N206" s="10"/>
    </row>
    <row r="207" spans="1:14" s="8" customFormat="1" ht="19">
      <c r="A207" s="45"/>
      <c r="B207" s="43"/>
      <c r="C207" s="9"/>
      <c r="D207" s="9"/>
      <c r="E207" s="9"/>
      <c r="F207" s="9"/>
      <c r="G207" s="9"/>
      <c r="H207" s="9"/>
      <c r="I207" s="9"/>
      <c r="J207" s="9"/>
      <c r="K207" s="10"/>
      <c r="L207" s="10"/>
      <c r="M207" s="10"/>
      <c r="N207" s="10"/>
    </row>
    <row r="208" spans="1:14" s="8" customFormat="1" ht="19">
      <c r="A208" s="45"/>
      <c r="B208" s="43"/>
      <c r="C208" s="9"/>
      <c r="D208" s="9"/>
      <c r="E208" s="9"/>
      <c r="F208" s="9"/>
      <c r="G208" s="9"/>
      <c r="H208" s="9"/>
      <c r="I208" s="9"/>
      <c r="J208" s="9"/>
      <c r="K208" s="10"/>
      <c r="L208" s="10"/>
      <c r="M208" s="10"/>
      <c r="N208" s="10"/>
    </row>
    <row r="209" spans="1:14" s="8" customFormat="1" ht="19">
      <c r="A209" s="45"/>
      <c r="B209" s="43"/>
      <c r="C209" s="9"/>
      <c r="D209" s="9"/>
      <c r="E209" s="9"/>
      <c r="F209" s="9"/>
      <c r="G209" s="9"/>
      <c r="H209" s="9"/>
      <c r="I209" s="9"/>
      <c r="J209" s="9"/>
      <c r="K209" s="10"/>
      <c r="L209" s="10"/>
      <c r="M209" s="10"/>
      <c r="N209" s="10"/>
    </row>
    <row r="210" spans="1:14" s="8" customFormat="1" ht="19">
      <c r="A210" s="45"/>
      <c r="B210" s="43"/>
      <c r="C210" s="9"/>
      <c r="D210" s="9"/>
      <c r="E210" s="9"/>
      <c r="F210" s="9"/>
      <c r="G210" s="9"/>
      <c r="H210" s="9"/>
      <c r="I210" s="9"/>
      <c r="J210" s="9"/>
      <c r="K210" s="10"/>
      <c r="L210" s="10"/>
      <c r="M210" s="10"/>
      <c r="N210" s="10"/>
    </row>
    <row r="211" spans="1:14" s="8" customFormat="1" ht="19">
      <c r="A211" s="45"/>
      <c r="B211" s="43"/>
      <c r="C211" s="9"/>
      <c r="D211" s="9"/>
      <c r="E211" s="9"/>
      <c r="F211" s="9"/>
      <c r="G211" s="9"/>
      <c r="H211" s="9"/>
      <c r="I211" s="9"/>
      <c r="J211" s="9"/>
      <c r="K211" s="10"/>
      <c r="L211" s="10"/>
      <c r="M211" s="10"/>
      <c r="N211" s="10"/>
    </row>
    <row r="212" spans="1:14" s="8" customFormat="1" ht="19">
      <c r="A212" s="45"/>
      <c r="B212" s="43"/>
      <c r="C212" s="9"/>
      <c r="D212" s="9"/>
      <c r="E212" s="9"/>
      <c r="F212" s="9"/>
      <c r="G212" s="9"/>
      <c r="H212" s="9"/>
      <c r="I212" s="9"/>
      <c r="J212" s="9"/>
      <c r="K212" s="10"/>
      <c r="L212" s="10"/>
      <c r="M212" s="10"/>
      <c r="N212" s="10"/>
    </row>
    <row r="213" spans="1:14" s="8" customFormat="1" ht="19">
      <c r="A213" s="45"/>
      <c r="B213" s="43"/>
      <c r="C213" s="9"/>
      <c r="D213" s="9"/>
      <c r="E213" s="9"/>
      <c r="F213" s="9"/>
      <c r="G213" s="9"/>
      <c r="H213" s="9"/>
      <c r="I213" s="9"/>
      <c r="J213" s="9"/>
      <c r="K213" s="10"/>
      <c r="L213" s="10"/>
      <c r="M213" s="10"/>
      <c r="N213" s="10"/>
    </row>
    <row r="214" spans="1:14" s="8" customFormat="1" ht="19">
      <c r="A214" s="45"/>
      <c r="B214" s="43"/>
      <c r="C214" s="9"/>
      <c r="D214" s="9"/>
      <c r="E214" s="9"/>
      <c r="F214" s="9"/>
      <c r="G214" s="9"/>
      <c r="H214" s="9"/>
      <c r="I214" s="9"/>
      <c r="J214" s="9"/>
      <c r="K214" s="10"/>
      <c r="L214" s="10"/>
      <c r="M214" s="10"/>
      <c r="N214" s="10"/>
    </row>
    <row r="215" spans="1:14" s="8" customFormat="1" ht="19">
      <c r="A215" s="45"/>
      <c r="B215" s="43"/>
      <c r="C215" s="9"/>
      <c r="D215" s="9"/>
      <c r="E215" s="9"/>
      <c r="F215" s="9"/>
      <c r="G215" s="9"/>
      <c r="H215" s="9"/>
      <c r="I215" s="9"/>
      <c r="J215" s="9"/>
      <c r="K215" s="10"/>
      <c r="L215" s="10"/>
      <c r="M215" s="10"/>
      <c r="N215" s="10"/>
    </row>
    <row r="216" spans="1:14" s="8" customFormat="1" ht="19">
      <c r="A216" s="45"/>
      <c r="B216" s="43"/>
      <c r="C216" s="9"/>
      <c r="D216" s="9"/>
      <c r="E216" s="9"/>
      <c r="F216" s="9"/>
      <c r="G216" s="9"/>
      <c r="H216" s="9"/>
      <c r="I216" s="9"/>
      <c r="J216" s="9"/>
      <c r="K216" s="10"/>
      <c r="L216" s="10"/>
      <c r="M216" s="10"/>
      <c r="N216" s="10"/>
    </row>
    <row r="217" spans="1:14" s="8" customFormat="1" ht="19">
      <c r="A217" s="45"/>
      <c r="B217" s="43"/>
      <c r="C217" s="9"/>
      <c r="D217" s="9"/>
      <c r="E217" s="9"/>
      <c r="F217" s="9"/>
      <c r="G217" s="9"/>
      <c r="H217" s="9"/>
      <c r="I217" s="9"/>
      <c r="J217" s="9"/>
      <c r="K217" s="10"/>
      <c r="L217" s="10"/>
      <c r="M217" s="10"/>
      <c r="N217" s="10"/>
    </row>
    <row r="218" spans="1:14" s="8" customFormat="1" ht="19">
      <c r="A218" s="45"/>
      <c r="B218" s="43"/>
      <c r="C218" s="9"/>
      <c r="D218" s="9"/>
      <c r="E218" s="9"/>
      <c r="F218" s="9"/>
      <c r="G218" s="9"/>
      <c r="H218" s="9"/>
      <c r="I218" s="9"/>
      <c r="J218" s="9"/>
      <c r="K218" s="10"/>
      <c r="L218" s="10"/>
      <c r="M218" s="10"/>
      <c r="N218" s="10"/>
    </row>
    <row r="219" spans="1:14" s="8" customFormat="1" ht="19">
      <c r="A219" s="45"/>
      <c r="B219" s="43"/>
      <c r="C219" s="9"/>
      <c r="D219" s="9"/>
      <c r="E219" s="9"/>
      <c r="F219" s="9"/>
      <c r="G219" s="9"/>
      <c r="H219" s="9"/>
      <c r="I219" s="9"/>
      <c r="J219" s="9"/>
      <c r="K219" s="10"/>
      <c r="L219" s="10"/>
      <c r="M219" s="10"/>
      <c r="N219" s="10"/>
    </row>
    <row r="220" spans="1:14" s="8" customFormat="1" ht="19">
      <c r="A220" s="45"/>
      <c r="B220" s="43"/>
      <c r="C220" s="9"/>
      <c r="D220" s="9"/>
      <c r="E220" s="9"/>
      <c r="F220" s="9"/>
      <c r="G220" s="9"/>
      <c r="H220" s="9"/>
      <c r="I220" s="9"/>
      <c r="J220" s="9"/>
      <c r="K220" s="10"/>
      <c r="L220" s="10"/>
      <c r="M220" s="10"/>
      <c r="N220" s="10"/>
    </row>
    <row r="221" spans="1:14" s="8" customFormat="1" ht="19">
      <c r="A221" s="45"/>
      <c r="B221" s="43"/>
      <c r="C221" s="9"/>
      <c r="D221" s="9"/>
      <c r="E221" s="9"/>
      <c r="F221" s="9"/>
      <c r="G221" s="9"/>
      <c r="H221" s="9"/>
      <c r="I221" s="9"/>
      <c r="J221" s="9"/>
      <c r="K221" s="10"/>
      <c r="L221" s="10"/>
      <c r="M221" s="10"/>
      <c r="N221" s="10"/>
    </row>
    <row r="222" spans="1:14" s="8" customFormat="1" ht="19">
      <c r="A222" s="45"/>
      <c r="B222" s="43"/>
      <c r="C222" s="9"/>
      <c r="D222" s="9"/>
      <c r="E222" s="9"/>
      <c r="F222" s="9"/>
      <c r="G222" s="9"/>
      <c r="H222" s="9"/>
      <c r="I222" s="9"/>
      <c r="J222" s="9"/>
      <c r="K222" s="10"/>
      <c r="L222" s="10"/>
      <c r="M222" s="10"/>
      <c r="N222" s="10"/>
    </row>
    <row r="223" spans="1:14" s="8" customFormat="1" ht="19">
      <c r="A223" s="45"/>
      <c r="B223" s="43"/>
      <c r="C223" s="9"/>
      <c r="D223" s="9"/>
      <c r="E223" s="9"/>
      <c r="F223" s="9"/>
      <c r="G223" s="9"/>
      <c r="H223" s="9"/>
      <c r="I223" s="9"/>
      <c r="J223" s="9"/>
      <c r="K223" s="10"/>
      <c r="L223" s="10"/>
      <c r="M223" s="10"/>
      <c r="N223" s="10"/>
    </row>
    <row r="224" spans="1:14" s="8" customFormat="1" ht="19">
      <c r="A224" s="45"/>
      <c r="B224" s="43"/>
      <c r="C224" s="9"/>
      <c r="D224" s="9"/>
      <c r="E224" s="9"/>
      <c r="F224" s="9"/>
      <c r="G224" s="9"/>
      <c r="H224" s="9"/>
      <c r="I224" s="9"/>
      <c r="J224" s="9"/>
      <c r="K224" s="10"/>
      <c r="L224" s="10"/>
      <c r="M224" s="10"/>
      <c r="N224" s="10"/>
    </row>
    <row r="225" spans="1:14" s="8" customFormat="1" ht="19">
      <c r="A225" s="45"/>
      <c r="B225" s="43"/>
      <c r="C225" s="9"/>
      <c r="D225" s="9"/>
      <c r="E225" s="9"/>
      <c r="F225" s="9"/>
      <c r="G225" s="9"/>
      <c r="H225" s="9"/>
      <c r="I225" s="9"/>
      <c r="J225" s="9"/>
      <c r="K225" s="10"/>
      <c r="L225" s="10"/>
      <c r="M225" s="10"/>
      <c r="N225" s="10"/>
    </row>
    <row r="226" spans="1:14" s="8" customFormat="1" ht="19">
      <c r="A226" s="45"/>
      <c r="B226" s="43"/>
      <c r="C226" s="9"/>
      <c r="D226" s="9"/>
      <c r="E226" s="9"/>
      <c r="F226" s="9"/>
      <c r="G226" s="9"/>
      <c r="H226" s="9"/>
      <c r="I226" s="9"/>
      <c r="J226" s="9"/>
      <c r="K226" s="10"/>
      <c r="L226" s="10"/>
      <c r="M226" s="10"/>
      <c r="N226" s="10"/>
    </row>
    <row r="227" spans="1:14" s="8" customFormat="1" ht="19">
      <c r="A227" s="45"/>
      <c r="B227" s="43"/>
      <c r="C227" s="9"/>
      <c r="D227" s="9"/>
      <c r="E227" s="9"/>
      <c r="F227" s="9"/>
      <c r="G227" s="9"/>
      <c r="H227" s="9"/>
      <c r="I227" s="9"/>
      <c r="J227" s="9"/>
      <c r="K227" s="10"/>
      <c r="L227" s="10"/>
      <c r="M227" s="10"/>
      <c r="N227" s="10"/>
    </row>
    <row r="228" spans="1:14" s="8" customFormat="1" ht="19">
      <c r="A228" s="45"/>
      <c r="B228" s="43"/>
      <c r="C228" s="9"/>
      <c r="D228" s="9"/>
      <c r="E228" s="9"/>
      <c r="F228" s="9"/>
      <c r="G228" s="9"/>
      <c r="H228" s="9"/>
      <c r="I228" s="9"/>
      <c r="J228" s="9"/>
      <c r="K228" s="10"/>
      <c r="L228" s="10"/>
      <c r="M228" s="10"/>
      <c r="N228" s="10"/>
    </row>
    <row r="229" spans="1:14" s="8" customFormat="1" ht="19">
      <c r="A229" s="45"/>
      <c r="B229" s="43"/>
      <c r="C229" s="9"/>
      <c r="D229" s="9"/>
      <c r="E229" s="9"/>
      <c r="F229" s="9"/>
      <c r="G229" s="9"/>
      <c r="H229" s="9"/>
      <c r="I229" s="9"/>
      <c r="J229" s="9"/>
      <c r="K229" s="10"/>
      <c r="L229" s="10"/>
      <c r="M229" s="10"/>
      <c r="N229" s="10"/>
    </row>
    <row r="230" spans="1:14" s="8" customFormat="1" ht="19">
      <c r="A230" s="45"/>
      <c r="B230" s="43"/>
      <c r="C230" s="9"/>
      <c r="D230" s="9"/>
      <c r="E230" s="9"/>
      <c r="F230" s="9"/>
      <c r="G230" s="9"/>
      <c r="H230" s="9"/>
      <c r="I230" s="9"/>
      <c r="J230" s="9"/>
      <c r="K230" s="10"/>
      <c r="L230" s="10"/>
      <c r="M230" s="10"/>
      <c r="N230" s="10"/>
    </row>
    <row r="231" spans="1:14" s="8" customFormat="1" ht="19">
      <c r="A231" s="45"/>
      <c r="B231" s="43"/>
      <c r="C231" s="9"/>
      <c r="D231" s="9"/>
      <c r="E231" s="9"/>
      <c r="F231" s="9"/>
      <c r="G231" s="9"/>
      <c r="H231" s="9"/>
      <c r="I231" s="9"/>
      <c r="J231" s="9"/>
      <c r="K231" s="10"/>
      <c r="L231" s="10"/>
      <c r="M231" s="10"/>
      <c r="N231" s="10"/>
    </row>
    <row r="232" spans="1:14" s="8" customFormat="1" ht="19">
      <c r="A232" s="45"/>
      <c r="B232" s="43"/>
      <c r="C232" s="9"/>
      <c r="D232" s="9"/>
      <c r="E232" s="9"/>
      <c r="F232" s="9"/>
      <c r="G232" s="9"/>
      <c r="H232" s="9"/>
      <c r="I232" s="9"/>
      <c r="J232" s="9"/>
      <c r="K232" s="10"/>
      <c r="L232" s="10"/>
      <c r="M232" s="10"/>
      <c r="N232" s="10"/>
    </row>
    <row r="233" spans="1:14" s="8" customFormat="1" ht="19">
      <c r="A233" s="45"/>
      <c r="B233" s="43"/>
      <c r="C233" s="9"/>
      <c r="D233" s="9"/>
      <c r="E233" s="9"/>
      <c r="F233" s="9"/>
      <c r="G233" s="9"/>
      <c r="H233" s="9"/>
      <c r="I233" s="9"/>
      <c r="J233" s="9"/>
      <c r="K233" s="10"/>
      <c r="L233" s="10"/>
      <c r="M233" s="10"/>
      <c r="N233" s="10"/>
    </row>
    <row r="234" spans="1:14" s="8" customFormat="1" ht="19">
      <c r="A234" s="45"/>
      <c r="B234" s="43"/>
      <c r="C234" s="9"/>
      <c r="D234" s="9"/>
      <c r="E234" s="9"/>
      <c r="F234" s="9"/>
      <c r="G234" s="9"/>
      <c r="H234" s="9"/>
      <c r="I234" s="9"/>
      <c r="J234" s="9"/>
      <c r="K234" s="10"/>
      <c r="L234" s="10"/>
      <c r="M234" s="10"/>
      <c r="N234" s="10"/>
    </row>
    <row r="235" spans="1:14" s="8" customFormat="1" ht="19">
      <c r="A235" s="45"/>
      <c r="B235" s="43"/>
      <c r="C235" s="9"/>
      <c r="D235" s="9"/>
      <c r="E235" s="9"/>
      <c r="F235" s="9"/>
      <c r="G235" s="9"/>
      <c r="H235" s="9"/>
      <c r="I235" s="9"/>
      <c r="J235" s="9"/>
      <c r="K235" s="10"/>
      <c r="L235" s="10"/>
      <c r="M235" s="10"/>
      <c r="N235" s="10"/>
    </row>
    <row r="236" spans="1:14" s="8" customFormat="1" ht="19">
      <c r="A236" s="45"/>
      <c r="B236" s="43"/>
      <c r="C236" s="9"/>
      <c r="D236" s="9"/>
      <c r="E236" s="9"/>
      <c r="F236" s="9"/>
      <c r="G236" s="9"/>
      <c r="H236" s="9"/>
      <c r="I236" s="9"/>
      <c r="J236" s="9"/>
      <c r="K236" s="10"/>
      <c r="L236" s="10"/>
      <c r="M236" s="10"/>
      <c r="N236" s="10"/>
    </row>
    <row r="237" spans="1:14" s="8" customFormat="1" ht="19">
      <c r="A237" s="45"/>
      <c r="B237" s="43"/>
      <c r="C237" s="9"/>
      <c r="D237" s="9"/>
      <c r="E237" s="9"/>
      <c r="F237" s="9"/>
      <c r="G237" s="9"/>
      <c r="H237" s="9"/>
      <c r="I237" s="9"/>
      <c r="J237" s="9"/>
      <c r="K237" s="10"/>
      <c r="L237" s="10"/>
      <c r="M237" s="10"/>
      <c r="N237" s="10"/>
    </row>
    <row r="238" spans="1:14" s="8" customFormat="1" ht="19">
      <c r="A238" s="45"/>
      <c r="B238" s="43"/>
      <c r="C238" s="9"/>
      <c r="D238" s="9"/>
      <c r="E238" s="9"/>
      <c r="F238" s="9"/>
      <c r="G238" s="9"/>
      <c r="H238" s="9"/>
      <c r="I238" s="9"/>
      <c r="J238" s="9"/>
      <c r="K238" s="10"/>
      <c r="L238" s="10"/>
      <c r="M238" s="10"/>
      <c r="N238" s="10"/>
    </row>
    <row r="239" spans="1:14" s="8" customFormat="1" ht="19">
      <c r="A239" s="45"/>
      <c r="B239" s="43"/>
      <c r="C239" s="9"/>
      <c r="D239" s="9"/>
      <c r="E239" s="9"/>
      <c r="F239" s="9"/>
      <c r="G239" s="9"/>
      <c r="H239" s="9"/>
      <c r="I239" s="9"/>
      <c r="J239" s="9"/>
      <c r="K239" s="10"/>
      <c r="L239" s="10"/>
      <c r="M239" s="10"/>
      <c r="N239" s="10"/>
    </row>
    <row r="240" spans="1:14" s="8" customFormat="1" ht="19">
      <c r="A240" s="45"/>
      <c r="B240" s="43"/>
      <c r="C240" s="9"/>
      <c r="D240" s="9"/>
      <c r="E240" s="9"/>
      <c r="F240" s="9"/>
      <c r="G240" s="9"/>
      <c r="H240" s="9"/>
      <c r="I240" s="9"/>
      <c r="J240" s="9"/>
      <c r="K240" s="10"/>
      <c r="L240" s="10"/>
      <c r="M240" s="10"/>
      <c r="N240" s="10"/>
    </row>
    <row r="241" spans="1:14" s="8" customFormat="1" ht="19">
      <c r="A241" s="45"/>
      <c r="B241" s="43"/>
      <c r="C241" s="9"/>
      <c r="D241" s="9"/>
      <c r="E241" s="9"/>
      <c r="F241" s="9"/>
      <c r="G241" s="9"/>
      <c r="H241" s="9"/>
      <c r="I241" s="9"/>
      <c r="J241" s="9"/>
      <c r="K241" s="10"/>
      <c r="L241" s="10"/>
      <c r="M241" s="10"/>
      <c r="N241" s="10"/>
    </row>
    <row r="242" spans="1:14" s="8" customFormat="1" ht="19">
      <c r="A242" s="45"/>
      <c r="B242" s="43"/>
      <c r="C242" s="9"/>
      <c r="D242" s="9"/>
      <c r="E242" s="9"/>
      <c r="F242" s="9"/>
      <c r="G242" s="9"/>
      <c r="H242" s="9"/>
      <c r="I242" s="9"/>
      <c r="J242" s="9"/>
      <c r="K242" s="10"/>
      <c r="L242" s="10"/>
      <c r="M242" s="10"/>
      <c r="N242" s="10"/>
    </row>
    <row r="243" spans="1:14" s="8" customFormat="1" ht="19">
      <c r="A243" s="45"/>
      <c r="B243" s="43"/>
      <c r="C243" s="9"/>
      <c r="D243" s="9"/>
      <c r="E243" s="9"/>
      <c r="F243" s="9"/>
      <c r="G243" s="9"/>
      <c r="H243" s="9"/>
      <c r="I243" s="9"/>
      <c r="J243" s="9"/>
      <c r="K243" s="10"/>
      <c r="L243" s="10"/>
      <c r="M243" s="10"/>
      <c r="N243" s="10"/>
    </row>
    <row r="244" spans="1:14" s="8" customFormat="1" ht="19">
      <c r="A244" s="45"/>
      <c r="B244" s="43"/>
      <c r="C244" s="9"/>
      <c r="D244" s="9"/>
      <c r="E244" s="9"/>
      <c r="F244" s="9"/>
      <c r="G244" s="9"/>
      <c r="H244" s="9"/>
      <c r="I244" s="9"/>
      <c r="J244" s="9"/>
      <c r="K244" s="10"/>
      <c r="L244" s="10"/>
      <c r="M244" s="10"/>
      <c r="N244" s="10"/>
    </row>
    <row r="245" spans="1:14" s="8" customFormat="1" ht="19">
      <c r="A245" s="45"/>
      <c r="B245" s="43"/>
      <c r="C245" s="9"/>
      <c r="D245" s="9"/>
      <c r="E245" s="9"/>
      <c r="F245" s="9"/>
      <c r="G245" s="9"/>
      <c r="H245" s="9"/>
      <c r="I245" s="9"/>
      <c r="J245" s="9"/>
      <c r="K245" s="10"/>
      <c r="L245" s="10"/>
      <c r="M245" s="10"/>
      <c r="N245" s="10"/>
    </row>
    <row r="246" spans="1:14" s="8" customFormat="1" ht="19">
      <c r="A246" s="45"/>
      <c r="B246" s="43"/>
      <c r="C246" s="9"/>
      <c r="D246" s="9"/>
      <c r="E246" s="9"/>
      <c r="F246" s="9"/>
      <c r="G246" s="9"/>
      <c r="H246" s="9"/>
      <c r="I246" s="9"/>
      <c r="J246" s="9"/>
      <c r="K246" s="10"/>
      <c r="L246" s="10"/>
      <c r="M246" s="10"/>
      <c r="N246" s="10"/>
    </row>
    <row r="247" spans="1:14" s="8" customFormat="1" ht="19">
      <c r="A247" s="45"/>
      <c r="B247" s="43"/>
      <c r="C247" s="9"/>
      <c r="D247" s="9"/>
      <c r="E247" s="9"/>
      <c r="F247" s="9"/>
      <c r="G247" s="9"/>
      <c r="H247" s="9"/>
      <c r="I247" s="9"/>
      <c r="J247" s="9"/>
      <c r="K247" s="10"/>
      <c r="L247" s="10"/>
      <c r="M247" s="10"/>
      <c r="N247" s="10"/>
    </row>
    <row r="248" spans="1:14" s="8" customFormat="1" ht="19">
      <c r="A248" s="45"/>
      <c r="B248" s="43"/>
      <c r="C248" s="9"/>
      <c r="D248" s="9"/>
      <c r="E248" s="9"/>
      <c r="F248" s="9"/>
      <c r="G248" s="9"/>
      <c r="H248" s="9"/>
      <c r="I248" s="9"/>
      <c r="J248" s="9"/>
      <c r="K248" s="10"/>
      <c r="L248" s="10"/>
      <c r="M248" s="10"/>
      <c r="N248" s="10"/>
    </row>
    <row r="249" spans="1:14" s="8" customFormat="1" ht="19">
      <c r="A249" s="45"/>
      <c r="B249" s="43"/>
      <c r="C249" s="9"/>
      <c r="D249" s="9"/>
      <c r="E249" s="9"/>
      <c r="F249" s="9"/>
      <c r="G249" s="9"/>
      <c r="H249" s="9"/>
      <c r="I249" s="9"/>
      <c r="J249" s="9"/>
      <c r="K249" s="10"/>
      <c r="L249" s="10"/>
      <c r="M249" s="10"/>
      <c r="N249" s="10"/>
    </row>
    <row r="250" spans="1:14" s="8" customFormat="1" ht="19">
      <c r="A250" s="45"/>
      <c r="B250" s="43"/>
      <c r="C250" s="9"/>
      <c r="D250" s="9"/>
      <c r="E250" s="9"/>
      <c r="F250" s="9"/>
      <c r="G250" s="9"/>
      <c r="H250" s="9"/>
      <c r="I250" s="9"/>
      <c r="J250" s="9"/>
      <c r="K250" s="10"/>
      <c r="L250" s="10"/>
      <c r="M250" s="10"/>
      <c r="N250" s="10"/>
    </row>
    <row r="251" spans="1:14" s="8" customFormat="1" ht="19">
      <c r="A251" s="45"/>
      <c r="B251" s="43"/>
      <c r="C251" s="9"/>
      <c r="D251" s="9"/>
      <c r="E251" s="9"/>
      <c r="F251" s="9"/>
      <c r="G251" s="9"/>
      <c r="H251" s="9"/>
      <c r="I251" s="9"/>
      <c r="J251" s="9"/>
      <c r="K251" s="10"/>
      <c r="L251" s="10"/>
      <c r="M251" s="10"/>
      <c r="N251" s="10"/>
    </row>
    <row r="252" spans="1:14" s="8" customFormat="1" ht="19">
      <c r="A252" s="45"/>
      <c r="B252" s="43"/>
      <c r="C252" s="9"/>
      <c r="D252" s="9"/>
      <c r="E252" s="9"/>
      <c r="F252" s="9"/>
      <c r="G252" s="9"/>
      <c r="H252" s="9"/>
      <c r="I252" s="9"/>
      <c r="J252" s="9"/>
      <c r="K252" s="10"/>
      <c r="L252" s="10"/>
      <c r="M252" s="10"/>
      <c r="N252" s="10"/>
    </row>
    <row r="253" spans="1:14" s="8" customFormat="1" ht="19">
      <c r="A253" s="45"/>
      <c r="B253" s="43"/>
      <c r="C253" s="9"/>
      <c r="D253" s="9"/>
      <c r="E253" s="9"/>
      <c r="F253" s="9"/>
      <c r="G253" s="9"/>
      <c r="H253" s="9"/>
      <c r="I253" s="9"/>
      <c r="J253" s="9"/>
      <c r="K253" s="10"/>
      <c r="L253" s="10"/>
      <c r="M253" s="10"/>
      <c r="N253" s="10"/>
    </row>
    <row r="254" spans="1:14" s="8" customFormat="1" ht="19">
      <c r="A254" s="45"/>
      <c r="B254" s="43"/>
      <c r="C254" s="9"/>
      <c r="D254" s="9"/>
      <c r="E254" s="9"/>
      <c r="F254" s="9"/>
      <c r="G254" s="9"/>
      <c r="H254" s="9"/>
      <c r="I254" s="9"/>
      <c r="J254" s="9"/>
      <c r="K254" s="10"/>
      <c r="L254" s="10"/>
      <c r="M254" s="10"/>
      <c r="N254" s="10"/>
    </row>
    <row r="255" spans="1:14" s="8" customFormat="1" ht="19">
      <c r="A255" s="45"/>
      <c r="B255" s="43"/>
      <c r="C255" s="9"/>
      <c r="D255" s="9"/>
      <c r="E255" s="9"/>
      <c r="F255" s="9"/>
      <c r="G255" s="9"/>
      <c r="H255" s="9"/>
      <c r="I255" s="9"/>
      <c r="J255" s="9"/>
      <c r="K255" s="10"/>
      <c r="L255" s="10"/>
      <c r="M255" s="10"/>
      <c r="N255" s="10"/>
    </row>
    <row r="256" spans="1:14" s="8" customFormat="1" ht="19">
      <c r="A256" s="45"/>
      <c r="B256" s="43"/>
      <c r="C256" s="9"/>
      <c r="D256" s="9"/>
      <c r="E256" s="9"/>
      <c r="F256" s="9"/>
      <c r="G256" s="9"/>
      <c r="H256" s="9"/>
      <c r="I256" s="9"/>
      <c r="J256" s="9"/>
      <c r="K256" s="10"/>
      <c r="L256" s="10"/>
      <c r="M256" s="10"/>
      <c r="N256" s="10"/>
    </row>
    <row r="257" spans="1:14" s="8" customFormat="1" ht="19">
      <c r="A257" s="45"/>
      <c r="B257" s="43"/>
      <c r="C257" s="9"/>
      <c r="D257" s="9"/>
      <c r="E257" s="9"/>
      <c r="F257" s="9"/>
      <c r="G257" s="9"/>
      <c r="H257" s="9"/>
      <c r="I257" s="9"/>
      <c r="J257" s="9"/>
      <c r="K257" s="10"/>
      <c r="L257" s="10"/>
      <c r="M257" s="10"/>
      <c r="N257" s="10"/>
    </row>
    <row r="258" spans="1:14" s="8" customFormat="1" ht="19">
      <c r="A258" s="45"/>
      <c r="B258" s="43"/>
      <c r="C258" s="9"/>
      <c r="D258" s="9"/>
      <c r="E258" s="9"/>
      <c r="F258" s="9"/>
      <c r="G258" s="9"/>
      <c r="H258" s="9"/>
      <c r="I258" s="9"/>
      <c r="J258" s="9"/>
      <c r="K258" s="10"/>
      <c r="L258" s="10"/>
      <c r="M258" s="10"/>
      <c r="N258" s="10"/>
    </row>
    <row r="259" spans="1:14" s="8" customFormat="1" ht="19">
      <c r="A259" s="45"/>
      <c r="B259" s="43"/>
      <c r="C259" s="9"/>
      <c r="D259" s="9"/>
      <c r="E259" s="9"/>
      <c r="F259" s="9"/>
      <c r="G259" s="9"/>
      <c r="H259" s="9"/>
      <c r="I259" s="9"/>
      <c r="J259" s="9"/>
      <c r="K259" s="10"/>
      <c r="L259" s="10"/>
      <c r="M259" s="10"/>
      <c r="N259" s="10"/>
    </row>
    <row r="260" spans="1:14" s="8" customFormat="1" ht="19">
      <c r="A260" s="45"/>
      <c r="B260" s="43"/>
      <c r="C260" s="9"/>
      <c r="D260" s="9"/>
      <c r="E260" s="9"/>
      <c r="F260" s="9"/>
      <c r="G260" s="9"/>
      <c r="H260" s="9"/>
      <c r="I260" s="9"/>
      <c r="J260" s="9"/>
      <c r="K260" s="10"/>
      <c r="L260" s="10"/>
      <c r="M260" s="10"/>
      <c r="N260" s="10"/>
    </row>
    <row r="261" spans="1:14" s="8" customFormat="1" ht="19">
      <c r="A261" s="45"/>
      <c r="B261" s="43"/>
      <c r="C261" s="9"/>
      <c r="D261" s="9"/>
      <c r="E261" s="9"/>
      <c r="F261" s="9"/>
      <c r="G261" s="9"/>
      <c r="H261" s="9"/>
      <c r="I261" s="9"/>
      <c r="J261" s="9"/>
      <c r="K261" s="10"/>
      <c r="L261" s="10"/>
      <c r="M261" s="10"/>
      <c r="N261" s="10"/>
    </row>
    <row r="262" spans="1:14" s="8" customFormat="1" ht="19">
      <c r="A262" s="45"/>
      <c r="B262" s="43"/>
      <c r="C262" s="9"/>
      <c r="D262" s="9"/>
      <c r="E262" s="9"/>
      <c r="F262" s="9"/>
      <c r="G262" s="9"/>
      <c r="H262" s="9"/>
      <c r="I262" s="9"/>
      <c r="J262" s="9"/>
      <c r="K262" s="10"/>
      <c r="L262" s="10"/>
      <c r="M262" s="10"/>
      <c r="N262" s="10"/>
    </row>
    <row r="263" spans="1:14" s="8" customFormat="1" ht="19">
      <c r="A263" s="45"/>
      <c r="B263" s="43"/>
      <c r="C263" s="9"/>
      <c r="D263" s="9"/>
      <c r="E263" s="9"/>
      <c r="F263" s="9"/>
      <c r="G263" s="9"/>
      <c r="H263" s="9"/>
      <c r="I263" s="9"/>
      <c r="J263" s="9"/>
      <c r="K263" s="10"/>
      <c r="L263" s="10"/>
      <c r="M263" s="10"/>
      <c r="N263" s="10"/>
    </row>
    <row r="264" spans="1:14" s="8" customFormat="1" ht="19">
      <c r="A264" s="45"/>
      <c r="B264" s="43"/>
      <c r="C264" s="9"/>
      <c r="D264" s="9"/>
      <c r="E264" s="9"/>
      <c r="F264" s="9"/>
      <c r="G264" s="9"/>
      <c r="H264" s="9"/>
      <c r="I264" s="9"/>
      <c r="J264" s="9"/>
      <c r="K264" s="10"/>
      <c r="L264" s="10"/>
      <c r="M264" s="10"/>
      <c r="N264" s="10"/>
    </row>
    <row r="265" spans="1:14" s="8" customFormat="1" ht="19">
      <c r="A265" s="45"/>
      <c r="B265" s="43"/>
      <c r="C265" s="9"/>
      <c r="D265" s="9"/>
      <c r="E265" s="9"/>
      <c r="F265" s="9"/>
      <c r="G265" s="9"/>
      <c r="H265" s="9"/>
      <c r="I265" s="9"/>
      <c r="J265" s="9"/>
      <c r="K265" s="10"/>
      <c r="L265" s="10"/>
      <c r="M265" s="10"/>
      <c r="N265" s="10"/>
    </row>
    <row r="266" spans="1:14" s="8" customFormat="1" ht="19">
      <c r="A266" s="45"/>
      <c r="B266" s="43"/>
      <c r="C266" s="9"/>
      <c r="D266" s="9"/>
      <c r="E266" s="9"/>
      <c r="F266" s="9"/>
      <c r="G266" s="9"/>
      <c r="H266" s="9"/>
      <c r="I266" s="9"/>
      <c r="J266" s="9"/>
      <c r="K266" s="10"/>
      <c r="L266" s="10"/>
      <c r="M266" s="10"/>
      <c r="N266" s="10"/>
    </row>
    <row r="267" spans="1:14" s="8" customFormat="1" ht="19">
      <c r="A267" s="45"/>
      <c r="B267" s="43"/>
      <c r="C267" s="9"/>
      <c r="D267" s="9"/>
      <c r="E267" s="9"/>
      <c r="F267" s="9"/>
      <c r="G267" s="9"/>
      <c r="H267" s="9"/>
      <c r="I267" s="9"/>
      <c r="J267" s="9"/>
      <c r="K267" s="10"/>
      <c r="L267" s="10"/>
      <c r="M267" s="10"/>
      <c r="N267" s="10"/>
    </row>
    <row r="268" spans="1:14" s="8" customFormat="1" ht="19">
      <c r="A268" s="45"/>
      <c r="B268" s="43"/>
      <c r="C268" s="9"/>
      <c r="D268" s="9"/>
      <c r="E268" s="9"/>
      <c r="F268" s="9"/>
      <c r="G268" s="9"/>
      <c r="H268" s="9"/>
      <c r="I268" s="9"/>
      <c r="J268" s="9"/>
      <c r="K268" s="10"/>
      <c r="L268" s="10"/>
      <c r="M268" s="10"/>
      <c r="N268" s="10"/>
    </row>
    <row r="269" spans="1:14" s="8" customFormat="1" ht="19">
      <c r="A269" s="45"/>
      <c r="B269" s="43"/>
      <c r="C269" s="9"/>
      <c r="D269" s="9"/>
      <c r="E269" s="9"/>
      <c r="F269" s="9"/>
      <c r="G269" s="9"/>
      <c r="H269" s="9"/>
      <c r="I269" s="9"/>
      <c r="J269" s="9"/>
      <c r="K269" s="10"/>
      <c r="L269" s="10"/>
      <c r="M269" s="10"/>
      <c r="N269" s="10"/>
    </row>
    <row r="270" spans="1:14" s="8" customFormat="1" ht="19">
      <c r="A270" s="45"/>
      <c r="B270" s="43"/>
      <c r="C270" s="9"/>
      <c r="D270" s="9"/>
      <c r="E270" s="9"/>
      <c r="F270" s="9"/>
      <c r="G270" s="9"/>
      <c r="H270" s="9"/>
      <c r="I270" s="9"/>
      <c r="J270" s="9"/>
      <c r="K270" s="10"/>
      <c r="L270" s="10"/>
      <c r="M270" s="10"/>
      <c r="N270" s="10"/>
    </row>
    <row r="271" spans="1:14" s="8" customFormat="1" ht="19">
      <c r="A271" s="45"/>
      <c r="B271" s="43"/>
      <c r="C271" s="9"/>
      <c r="D271" s="9"/>
      <c r="E271" s="9"/>
      <c r="F271" s="9"/>
      <c r="G271" s="9"/>
      <c r="H271" s="9"/>
      <c r="I271" s="9"/>
      <c r="J271" s="9"/>
      <c r="K271" s="10"/>
      <c r="L271" s="10"/>
      <c r="M271" s="10"/>
      <c r="N271" s="10"/>
    </row>
    <row r="272" spans="1:14" s="8" customFormat="1" ht="19">
      <c r="A272" s="45"/>
      <c r="B272" s="43"/>
      <c r="C272" s="9"/>
      <c r="D272" s="9"/>
      <c r="E272" s="9"/>
      <c r="F272" s="9"/>
      <c r="G272" s="9"/>
      <c r="H272" s="9"/>
      <c r="I272" s="9"/>
      <c r="J272" s="9"/>
      <c r="K272" s="10"/>
      <c r="L272" s="10"/>
      <c r="M272" s="10"/>
      <c r="N272" s="10"/>
    </row>
    <row r="273" spans="1:14" s="8" customFormat="1" ht="19">
      <c r="A273" s="45"/>
      <c r="B273" s="43"/>
      <c r="C273" s="9"/>
      <c r="D273" s="9"/>
      <c r="E273" s="9"/>
      <c r="F273" s="9"/>
      <c r="G273" s="9"/>
      <c r="H273" s="9"/>
      <c r="I273" s="9"/>
      <c r="J273" s="9"/>
      <c r="K273" s="10"/>
      <c r="L273" s="10"/>
      <c r="M273" s="10"/>
      <c r="N273" s="10"/>
    </row>
    <row r="274" spans="1:14" s="8" customFormat="1" ht="19">
      <c r="A274" s="45"/>
      <c r="B274" s="43"/>
      <c r="C274" s="9"/>
      <c r="D274" s="9"/>
      <c r="E274" s="9"/>
      <c r="F274" s="9"/>
      <c r="G274" s="9"/>
      <c r="H274" s="9"/>
      <c r="I274" s="9"/>
      <c r="J274" s="9"/>
      <c r="K274" s="10"/>
      <c r="L274" s="10"/>
      <c r="M274" s="10"/>
      <c r="N274" s="10"/>
    </row>
    <row r="275" spans="1:14" s="8" customFormat="1" ht="19">
      <c r="A275" s="45"/>
      <c r="B275" s="43"/>
      <c r="C275" s="9"/>
      <c r="D275" s="9"/>
      <c r="E275" s="9"/>
      <c r="F275" s="9"/>
      <c r="G275" s="9"/>
      <c r="H275" s="9"/>
      <c r="I275" s="9"/>
      <c r="J275" s="9"/>
      <c r="K275" s="10"/>
      <c r="L275" s="10"/>
      <c r="M275" s="10"/>
      <c r="N275" s="10"/>
    </row>
    <row r="276" spans="1:14" s="8" customFormat="1" ht="19">
      <c r="A276" s="45"/>
      <c r="B276" s="43"/>
      <c r="C276" s="9"/>
      <c r="D276" s="9"/>
      <c r="E276" s="9"/>
      <c r="F276" s="9"/>
      <c r="G276" s="9"/>
      <c r="H276" s="9"/>
      <c r="I276" s="9"/>
      <c r="J276" s="9"/>
      <c r="K276" s="10"/>
      <c r="L276" s="10"/>
      <c r="M276" s="10"/>
      <c r="N276" s="10"/>
    </row>
    <row r="277" spans="1:14" s="8" customFormat="1" ht="19">
      <c r="A277" s="45"/>
      <c r="B277" s="43"/>
      <c r="C277" s="9"/>
      <c r="D277" s="9"/>
      <c r="E277" s="9"/>
      <c r="F277" s="9"/>
      <c r="G277" s="9"/>
      <c r="H277" s="9"/>
      <c r="I277" s="9"/>
      <c r="J277" s="9"/>
      <c r="K277" s="10"/>
      <c r="L277" s="10"/>
      <c r="M277" s="10"/>
      <c r="N277" s="10"/>
    </row>
    <row r="278" spans="1:14" s="8" customFormat="1" ht="19">
      <c r="A278" s="45"/>
      <c r="B278" s="43"/>
      <c r="C278" s="9"/>
      <c r="D278" s="9"/>
      <c r="E278" s="9"/>
      <c r="F278" s="9"/>
      <c r="G278" s="9"/>
      <c r="H278" s="9"/>
      <c r="I278" s="9"/>
      <c r="J278" s="9"/>
      <c r="K278" s="10"/>
      <c r="L278" s="10"/>
      <c r="M278" s="10"/>
      <c r="N278" s="10"/>
    </row>
    <row r="279" spans="1:14" s="8" customFormat="1" ht="19">
      <c r="A279" s="45"/>
      <c r="B279" s="43"/>
      <c r="C279" s="9"/>
      <c r="D279" s="9"/>
      <c r="E279" s="9"/>
      <c r="F279" s="9"/>
      <c r="G279" s="9"/>
      <c r="H279" s="9"/>
      <c r="I279" s="9"/>
      <c r="J279" s="9"/>
      <c r="K279" s="10"/>
      <c r="L279" s="10"/>
      <c r="M279" s="10"/>
      <c r="N279" s="10"/>
    </row>
    <row r="280" spans="1:14" s="8" customFormat="1" ht="19">
      <c r="A280" s="45"/>
      <c r="B280" s="43"/>
      <c r="C280" s="9"/>
      <c r="D280" s="9"/>
      <c r="E280" s="9"/>
      <c r="F280" s="9"/>
      <c r="G280" s="9"/>
      <c r="H280" s="9"/>
      <c r="I280" s="9"/>
      <c r="J280" s="9"/>
      <c r="K280" s="10"/>
      <c r="L280" s="10"/>
      <c r="M280" s="10"/>
      <c r="N280" s="10"/>
    </row>
    <row r="281" spans="1:14" s="8" customFormat="1" ht="19">
      <c r="A281" s="45"/>
      <c r="B281" s="43"/>
      <c r="C281" s="9"/>
      <c r="D281" s="9"/>
      <c r="E281" s="9"/>
      <c r="F281" s="9"/>
      <c r="G281" s="9"/>
      <c r="H281" s="9"/>
      <c r="I281" s="9"/>
      <c r="J281" s="9"/>
      <c r="K281" s="10"/>
      <c r="L281" s="10"/>
      <c r="M281" s="10"/>
      <c r="N281" s="10"/>
    </row>
    <row r="282" spans="1:14" s="8" customFormat="1" ht="19">
      <c r="A282" s="45"/>
      <c r="B282" s="43"/>
      <c r="C282" s="9"/>
      <c r="D282" s="9"/>
      <c r="E282" s="9"/>
      <c r="F282" s="9"/>
      <c r="G282" s="9"/>
      <c r="H282" s="9"/>
      <c r="I282" s="9"/>
      <c r="J282" s="9"/>
      <c r="K282" s="10"/>
      <c r="L282" s="10"/>
      <c r="M282" s="10"/>
      <c r="N282" s="10"/>
    </row>
    <row r="283" spans="1:14" s="8" customFormat="1" ht="19">
      <c r="A283" s="45"/>
      <c r="B283" s="43"/>
      <c r="C283" s="9"/>
      <c r="D283" s="9"/>
      <c r="E283" s="9"/>
      <c r="F283" s="9"/>
      <c r="G283" s="9"/>
      <c r="H283" s="9"/>
      <c r="I283" s="9"/>
      <c r="J283" s="9"/>
      <c r="K283" s="10"/>
      <c r="L283" s="10"/>
      <c r="M283" s="10"/>
      <c r="N283" s="10"/>
    </row>
    <row r="284" spans="1:14" s="8" customFormat="1" ht="19">
      <c r="A284" s="45"/>
      <c r="B284" s="43"/>
      <c r="C284" s="9"/>
      <c r="D284" s="9"/>
      <c r="E284" s="9"/>
      <c r="F284" s="9"/>
      <c r="G284" s="9"/>
      <c r="H284" s="9"/>
      <c r="I284" s="9"/>
      <c r="J284" s="9"/>
      <c r="K284" s="10"/>
      <c r="L284" s="10"/>
      <c r="M284" s="10"/>
      <c r="N284" s="10"/>
    </row>
    <row r="285" spans="1:14" s="8" customFormat="1" ht="19">
      <c r="A285" s="45"/>
      <c r="B285" s="43"/>
      <c r="C285" s="9"/>
      <c r="D285" s="9"/>
      <c r="E285" s="9"/>
      <c r="F285" s="9"/>
      <c r="G285" s="9"/>
      <c r="H285" s="9"/>
      <c r="I285" s="9"/>
      <c r="J285" s="9"/>
      <c r="K285" s="10"/>
      <c r="L285" s="10"/>
      <c r="M285" s="10"/>
      <c r="N285" s="10"/>
    </row>
    <row r="286" spans="1:14" s="8" customFormat="1" ht="19">
      <c r="A286" s="45"/>
      <c r="B286" s="43"/>
      <c r="C286" s="9"/>
      <c r="D286" s="9"/>
      <c r="E286" s="9"/>
      <c r="F286" s="9"/>
      <c r="G286" s="9"/>
      <c r="H286" s="9"/>
      <c r="I286" s="9"/>
      <c r="J286" s="9"/>
      <c r="K286" s="10"/>
      <c r="L286" s="10"/>
      <c r="M286" s="10"/>
      <c r="N286" s="10"/>
    </row>
    <row r="287" spans="1:14" s="8" customFormat="1" ht="19">
      <c r="A287" s="45"/>
      <c r="B287" s="43"/>
      <c r="C287" s="9"/>
      <c r="D287" s="9"/>
      <c r="E287" s="9"/>
      <c r="F287" s="9"/>
      <c r="G287" s="9"/>
      <c r="H287" s="9"/>
      <c r="I287" s="9"/>
      <c r="J287" s="9"/>
      <c r="K287" s="10"/>
      <c r="L287" s="10"/>
      <c r="M287" s="10"/>
      <c r="N287" s="10"/>
    </row>
    <row r="288" spans="1:14" s="8" customFormat="1" ht="19">
      <c r="A288" s="45"/>
      <c r="B288" s="43"/>
      <c r="C288" s="9"/>
      <c r="D288" s="9"/>
      <c r="E288" s="9"/>
      <c r="F288" s="9"/>
      <c r="G288" s="9"/>
      <c r="H288" s="9"/>
      <c r="I288" s="9"/>
      <c r="J288" s="9"/>
      <c r="K288" s="10"/>
      <c r="L288" s="10"/>
      <c r="M288" s="10"/>
      <c r="N288" s="10"/>
    </row>
    <row r="289" spans="1:14" s="8" customFormat="1" ht="19">
      <c r="A289" s="45"/>
      <c r="B289" s="43"/>
      <c r="C289" s="9"/>
      <c r="D289" s="9"/>
      <c r="E289" s="9"/>
      <c r="F289" s="9"/>
      <c r="G289" s="9"/>
      <c r="H289" s="9"/>
      <c r="I289" s="9"/>
      <c r="J289" s="9"/>
      <c r="K289" s="10"/>
      <c r="L289" s="10"/>
      <c r="M289" s="10"/>
      <c r="N289" s="10"/>
    </row>
    <row r="290" spans="1:14" s="8" customFormat="1" ht="19">
      <c r="A290" s="45"/>
      <c r="B290" s="43"/>
      <c r="C290" s="9"/>
      <c r="D290" s="9"/>
      <c r="E290" s="9"/>
      <c r="F290" s="9"/>
      <c r="G290" s="9"/>
      <c r="H290" s="9"/>
      <c r="I290" s="9"/>
      <c r="J290" s="9"/>
      <c r="K290" s="10"/>
      <c r="L290" s="10"/>
      <c r="M290" s="10"/>
      <c r="N290" s="10"/>
    </row>
    <row r="291" spans="1:14" s="8" customFormat="1" ht="19">
      <c r="A291" s="45"/>
      <c r="B291" s="43"/>
      <c r="C291" s="9"/>
      <c r="D291" s="9"/>
      <c r="E291" s="9"/>
      <c r="F291" s="9"/>
      <c r="G291" s="9"/>
      <c r="H291" s="9"/>
      <c r="I291" s="9"/>
      <c r="J291" s="9"/>
      <c r="K291" s="10"/>
      <c r="L291" s="10"/>
      <c r="M291" s="10"/>
      <c r="N291" s="10"/>
    </row>
    <row r="292" spans="1:14" s="8" customFormat="1" ht="19">
      <c r="A292" s="45"/>
      <c r="B292" s="43"/>
      <c r="C292" s="9"/>
      <c r="D292" s="9"/>
      <c r="E292" s="9"/>
      <c r="F292" s="9"/>
      <c r="G292" s="9"/>
      <c r="H292" s="9"/>
      <c r="I292" s="9"/>
      <c r="J292" s="9"/>
      <c r="K292" s="10"/>
      <c r="L292" s="10"/>
      <c r="M292" s="10"/>
      <c r="N292" s="10"/>
    </row>
    <row r="293" spans="1:14" s="8" customFormat="1" ht="19">
      <c r="A293" s="45"/>
      <c r="B293" s="43"/>
      <c r="C293" s="9"/>
      <c r="D293" s="9"/>
      <c r="E293" s="9"/>
      <c r="F293" s="9"/>
      <c r="G293" s="9"/>
      <c r="H293" s="9"/>
      <c r="I293" s="9"/>
      <c r="J293" s="9"/>
      <c r="K293" s="10"/>
      <c r="L293" s="10"/>
      <c r="M293" s="10"/>
      <c r="N293" s="10"/>
    </row>
    <row r="294" spans="1:14" s="8" customFormat="1" ht="19">
      <c r="A294" s="45"/>
      <c r="B294" s="43"/>
      <c r="C294" s="9"/>
      <c r="D294" s="9"/>
      <c r="E294" s="9"/>
      <c r="F294" s="9"/>
      <c r="G294" s="9"/>
      <c r="H294" s="9"/>
      <c r="I294" s="9"/>
      <c r="J294" s="9"/>
      <c r="K294" s="10"/>
      <c r="L294" s="10"/>
      <c r="M294" s="10"/>
      <c r="N294" s="10"/>
    </row>
    <row r="295" spans="1:14" s="8" customFormat="1" ht="19">
      <c r="A295" s="45"/>
      <c r="B295" s="43"/>
      <c r="C295" s="9"/>
      <c r="D295" s="9"/>
      <c r="E295" s="9"/>
      <c r="F295" s="9"/>
      <c r="G295" s="9"/>
      <c r="H295" s="9"/>
      <c r="I295" s="9"/>
      <c r="J295" s="9"/>
      <c r="K295" s="10"/>
      <c r="L295" s="10"/>
      <c r="M295" s="10"/>
      <c r="N295" s="10"/>
    </row>
    <row r="296" spans="1:14" s="8" customFormat="1" ht="19">
      <c r="A296" s="45"/>
      <c r="B296" s="43"/>
      <c r="C296" s="9"/>
      <c r="D296" s="9"/>
      <c r="E296" s="9"/>
      <c r="F296" s="9"/>
      <c r="G296" s="9"/>
      <c r="H296" s="9"/>
      <c r="I296" s="9"/>
      <c r="J296" s="9"/>
      <c r="K296" s="10"/>
      <c r="L296" s="10"/>
      <c r="M296" s="10"/>
      <c r="N296" s="10"/>
    </row>
    <row r="297" spans="1:14" s="8" customFormat="1" ht="19">
      <c r="A297" s="45"/>
      <c r="B297" s="43"/>
      <c r="C297" s="9"/>
      <c r="D297" s="9"/>
      <c r="E297" s="9"/>
      <c r="F297" s="9"/>
      <c r="G297" s="9"/>
      <c r="H297" s="9"/>
      <c r="I297" s="9"/>
      <c r="J297" s="9"/>
      <c r="K297" s="10"/>
      <c r="L297" s="10"/>
      <c r="M297" s="10"/>
      <c r="N297" s="10"/>
    </row>
    <row r="298" spans="1:14" s="8" customFormat="1" ht="19">
      <c r="A298" s="45"/>
      <c r="B298" s="43"/>
      <c r="C298" s="9"/>
      <c r="D298" s="9"/>
      <c r="E298" s="9"/>
      <c r="F298" s="9"/>
      <c r="G298" s="9"/>
      <c r="H298" s="9"/>
      <c r="I298" s="9"/>
      <c r="J298" s="9"/>
      <c r="K298" s="10"/>
      <c r="L298" s="10"/>
      <c r="M298" s="10"/>
      <c r="N298" s="10"/>
    </row>
    <row r="299" spans="1:14" s="8" customFormat="1" ht="19">
      <c r="A299" s="45"/>
      <c r="B299" s="43"/>
      <c r="C299" s="9"/>
      <c r="D299" s="9"/>
      <c r="E299" s="9"/>
      <c r="F299" s="9"/>
      <c r="G299" s="9"/>
      <c r="H299" s="9"/>
      <c r="I299" s="9"/>
      <c r="J299" s="9"/>
      <c r="K299" s="10"/>
      <c r="L299" s="10"/>
      <c r="M299" s="10"/>
      <c r="N299" s="10"/>
    </row>
    <row r="300" spans="1:14" s="8" customFormat="1" ht="19">
      <c r="A300" s="45"/>
      <c r="B300" s="43"/>
      <c r="C300" s="9"/>
      <c r="D300" s="9"/>
      <c r="E300" s="9"/>
      <c r="F300" s="9"/>
      <c r="G300" s="9"/>
      <c r="H300" s="9"/>
      <c r="I300" s="9"/>
      <c r="J300" s="9"/>
      <c r="K300" s="10"/>
      <c r="L300" s="10"/>
      <c r="M300" s="10"/>
      <c r="N300" s="10"/>
    </row>
    <row r="301" spans="1:14" s="8" customFormat="1" ht="19">
      <c r="A301" s="45"/>
      <c r="B301" s="43"/>
      <c r="C301" s="9"/>
      <c r="D301" s="9"/>
      <c r="E301" s="9"/>
      <c r="F301" s="9"/>
      <c r="G301" s="9"/>
      <c r="H301" s="9"/>
      <c r="I301" s="9"/>
      <c r="J301" s="9"/>
      <c r="K301" s="10"/>
      <c r="L301" s="10"/>
      <c r="M301" s="10"/>
      <c r="N301" s="10"/>
    </row>
    <row r="302" spans="1:14" s="8" customFormat="1" ht="19">
      <c r="A302" s="45"/>
      <c r="B302" s="43"/>
      <c r="C302" s="9"/>
      <c r="D302" s="9"/>
      <c r="E302" s="9"/>
      <c r="F302" s="9"/>
      <c r="G302" s="9"/>
      <c r="H302" s="9"/>
      <c r="I302" s="9"/>
      <c r="J302" s="9"/>
      <c r="K302" s="10"/>
      <c r="L302" s="10"/>
      <c r="M302" s="10"/>
      <c r="N302" s="10"/>
    </row>
    <row r="303" spans="1:14" s="8" customFormat="1" ht="19">
      <c r="A303" s="45"/>
      <c r="B303" s="43"/>
      <c r="C303" s="9"/>
      <c r="D303" s="9"/>
      <c r="E303" s="9"/>
      <c r="F303" s="9"/>
      <c r="G303" s="9"/>
      <c r="H303" s="9"/>
      <c r="I303" s="9"/>
      <c r="J303" s="9"/>
      <c r="K303" s="10"/>
      <c r="L303" s="10"/>
      <c r="M303" s="10"/>
      <c r="N303" s="10"/>
    </row>
    <row r="304" spans="1:14" s="8" customFormat="1" ht="19">
      <c r="A304" s="45"/>
      <c r="B304" s="43"/>
      <c r="C304" s="9"/>
      <c r="D304" s="9"/>
      <c r="E304" s="9"/>
      <c r="F304" s="9"/>
      <c r="G304" s="9"/>
      <c r="H304" s="9"/>
      <c r="I304" s="9"/>
      <c r="J304" s="9"/>
      <c r="K304" s="10"/>
      <c r="L304" s="10"/>
      <c r="M304" s="10"/>
      <c r="N304" s="10"/>
    </row>
    <row r="305" spans="1:14" s="8" customFormat="1" ht="19">
      <c r="A305" s="45"/>
      <c r="B305" s="43"/>
      <c r="C305" s="9"/>
      <c r="D305" s="9"/>
      <c r="E305" s="9"/>
      <c r="F305" s="9"/>
      <c r="G305" s="9"/>
      <c r="H305" s="9"/>
      <c r="I305" s="9"/>
      <c r="J305" s="9"/>
      <c r="K305" s="10"/>
      <c r="L305" s="10"/>
      <c r="M305" s="10"/>
      <c r="N305" s="10"/>
    </row>
    <row r="306" spans="1:14" s="8" customFormat="1" ht="19">
      <c r="A306" s="45"/>
      <c r="B306" s="43"/>
      <c r="C306" s="9"/>
      <c r="D306" s="9"/>
      <c r="E306" s="9"/>
      <c r="F306" s="9"/>
      <c r="G306" s="9"/>
      <c r="H306" s="9"/>
      <c r="I306" s="9"/>
      <c r="J306" s="9"/>
      <c r="K306" s="10"/>
      <c r="L306" s="10"/>
      <c r="M306" s="10"/>
      <c r="N306" s="10"/>
    </row>
    <row r="307" spans="1:14" s="8" customFormat="1" ht="19">
      <c r="A307" s="45"/>
      <c r="B307" s="43"/>
      <c r="C307" s="9"/>
      <c r="D307" s="9"/>
      <c r="E307" s="9"/>
      <c r="F307" s="9"/>
      <c r="G307" s="9"/>
      <c r="H307" s="9"/>
      <c r="I307" s="9"/>
      <c r="J307" s="9"/>
      <c r="K307" s="10"/>
      <c r="L307" s="10"/>
      <c r="M307" s="10"/>
      <c r="N307" s="10"/>
    </row>
    <row r="308" spans="1:14" s="8" customFormat="1" ht="19">
      <c r="A308" s="45"/>
      <c r="B308" s="43"/>
      <c r="C308" s="9"/>
      <c r="D308" s="9"/>
      <c r="E308" s="9"/>
      <c r="F308" s="9"/>
      <c r="G308" s="9"/>
      <c r="H308" s="9"/>
      <c r="I308" s="9"/>
      <c r="J308" s="9"/>
      <c r="K308" s="10"/>
      <c r="L308" s="10"/>
      <c r="M308" s="10"/>
      <c r="N308" s="10"/>
    </row>
    <row r="309" spans="1:14" s="8" customFormat="1" ht="19">
      <c r="A309" s="45"/>
      <c r="B309" s="43"/>
      <c r="C309" s="9"/>
      <c r="D309" s="9"/>
      <c r="E309" s="9"/>
      <c r="F309" s="9"/>
      <c r="G309" s="9"/>
      <c r="H309" s="9"/>
      <c r="I309" s="9"/>
      <c r="J309" s="9"/>
      <c r="K309" s="10"/>
      <c r="L309" s="10"/>
      <c r="M309" s="10"/>
      <c r="N309" s="10"/>
    </row>
    <row r="310" spans="1:14" s="8" customFormat="1" ht="19">
      <c r="A310" s="45"/>
      <c r="B310" s="43"/>
      <c r="C310" s="9"/>
      <c r="D310" s="9"/>
      <c r="E310" s="9"/>
      <c r="F310" s="9"/>
      <c r="G310" s="9"/>
      <c r="H310" s="9"/>
      <c r="I310" s="9"/>
      <c r="J310" s="9"/>
      <c r="K310" s="10"/>
      <c r="L310" s="10"/>
      <c r="M310" s="10"/>
      <c r="N310" s="10"/>
    </row>
    <row r="311" spans="1:14" s="8" customFormat="1" ht="19">
      <c r="A311" s="45"/>
      <c r="B311" s="43"/>
      <c r="C311" s="9"/>
      <c r="D311" s="9"/>
      <c r="E311" s="9"/>
      <c r="F311" s="9"/>
      <c r="G311" s="9"/>
      <c r="H311" s="9"/>
      <c r="I311" s="9"/>
      <c r="J311" s="9"/>
      <c r="K311" s="10"/>
      <c r="L311" s="10"/>
      <c r="M311" s="10"/>
      <c r="N311" s="10"/>
    </row>
    <row r="312" spans="1:14" s="8" customFormat="1" ht="19">
      <c r="A312" s="45"/>
      <c r="B312" s="43"/>
      <c r="C312" s="9"/>
      <c r="D312" s="9"/>
      <c r="E312" s="9"/>
      <c r="F312" s="9"/>
      <c r="G312" s="9"/>
      <c r="H312" s="9"/>
      <c r="I312" s="9"/>
      <c r="J312" s="9"/>
      <c r="K312" s="10"/>
      <c r="L312" s="10"/>
      <c r="M312" s="10"/>
      <c r="N312" s="10"/>
    </row>
    <row r="313" spans="1:14" s="8" customFormat="1" ht="19">
      <c r="A313" s="45"/>
      <c r="B313" s="43"/>
      <c r="C313" s="9"/>
      <c r="D313" s="9"/>
      <c r="E313" s="9"/>
      <c r="F313" s="9"/>
      <c r="G313" s="9"/>
      <c r="H313" s="9"/>
      <c r="I313" s="9"/>
      <c r="J313" s="9"/>
      <c r="K313" s="10"/>
      <c r="L313" s="10"/>
      <c r="M313" s="10"/>
      <c r="N313" s="10"/>
    </row>
    <row r="314" spans="1:14" s="8" customFormat="1" ht="19">
      <c r="A314" s="45"/>
      <c r="B314" s="43"/>
      <c r="C314" s="9"/>
      <c r="D314" s="9"/>
      <c r="E314" s="9"/>
      <c r="F314" s="9"/>
      <c r="G314" s="9"/>
      <c r="H314" s="9"/>
      <c r="I314" s="9"/>
      <c r="J314" s="9"/>
      <c r="K314" s="10"/>
      <c r="L314" s="10"/>
      <c r="M314" s="10"/>
      <c r="N314" s="10"/>
    </row>
    <row r="315" spans="1:14" s="8" customFormat="1" ht="19">
      <c r="A315" s="45"/>
      <c r="B315" s="43"/>
      <c r="C315" s="9"/>
      <c r="D315" s="9"/>
      <c r="E315" s="9"/>
      <c r="F315" s="9"/>
      <c r="G315" s="9"/>
      <c r="H315" s="9"/>
      <c r="I315" s="9"/>
      <c r="J315" s="9"/>
      <c r="K315" s="10"/>
      <c r="L315" s="10"/>
      <c r="M315" s="10"/>
      <c r="N315" s="10"/>
    </row>
    <row r="316" spans="1:14" s="8" customFormat="1" ht="19">
      <c r="A316" s="45"/>
      <c r="B316" s="43"/>
      <c r="C316" s="9"/>
      <c r="D316" s="9"/>
      <c r="E316" s="9"/>
      <c r="F316" s="9"/>
      <c r="G316" s="9"/>
      <c r="H316" s="9"/>
      <c r="I316" s="9"/>
      <c r="J316" s="9"/>
      <c r="K316" s="10"/>
      <c r="L316" s="10"/>
      <c r="M316" s="10"/>
      <c r="N316" s="10"/>
    </row>
    <row r="317" spans="1:14" s="8" customFormat="1" ht="19">
      <c r="A317" s="45"/>
      <c r="B317" s="43"/>
      <c r="C317" s="9"/>
      <c r="D317" s="9"/>
      <c r="E317" s="9"/>
      <c r="F317" s="9"/>
      <c r="G317" s="9"/>
      <c r="H317" s="9"/>
      <c r="I317" s="9"/>
      <c r="J317" s="9"/>
      <c r="K317" s="10"/>
      <c r="L317" s="10"/>
      <c r="M317" s="10"/>
      <c r="N317" s="10"/>
    </row>
    <row r="318" spans="1:14" s="8" customFormat="1" ht="19">
      <c r="A318" s="45"/>
      <c r="B318" s="43"/>
      <c r="C318" s="9"/>
      <c r="D318" s="9"/>
      <c r="E318" s="9"/>
      <c r="F318" s="9"/>
      <c r="G318" s="9"/>
      <c r="H318" s="9"/>
      <c r="I318" s="9"/>
      <c r="J318" s="9"/>
      <c r="K318" s="10"/>
      <c r="L318" s="10"/>
      <c r="M318" s="10"/>
      <c r="N318" s="10"/>
    </row>
    <row r="319" spans="1:14" s="8" customFormat="1" ht="19">
      <c r="A319" s="45"/>
      <c r="B319" s="43"/>
      <c r="C319" s="9"/>
      <c r="D319" s="9"/>
      <c r="E319" s="9"/>
      <c r="F319" s="9"/>
      <c r="G319" s="9"/>
      <c r="H319" s="9"/>
      <c r="I319" s="9"/>
      <c r="J319" s="9"/>
      <c r="K319" s="10"/>
      <c r="L319" s="10"/>
      <c r="M319" s="10"/>
      <c r="N319" s="10"/>
    </row>
    <row r="320" spans="1:14" s="8" customFormat="1" ht="19">
      <c r="A320" s="45"/>
      <c r="B320" s="43"/>
      <c r="C320" s="9"/>
      <c r="D320" s="9"/>
      <c r="E320" s="9"/>
      <c r="F320" s="9"/>
      <c r="G320" s="9"/>
      <c r="H320" s="9"/>
      <c r="I320" s="9"/>
      <c r="J320" s="9"/>
      <c r="K320" s="10"/>
      <c r="L320" s="10"/>
      <c r="M320" s="10"/>
      <c r="N320" s="10"/>
    </row>
    <row r="321" spans="1:14" s="8" customFormat="1" ht="19">
      <c r="A321" s="45"/>
      <c r="B321" s="43"/>
      <c r="C321" s="9"/>
      <c r="D321" s="9"/>
      <c r="E321" s="9"/>
      <c r="F321" s="9"/>
      <c r="G321" s="9"/>
      <c r="H321" s="9"/>
      <c r="I321" s="9"/>
      <c r="J321" s="9"/>
      <c r="K321" s="10"/>
      <c r="L321" s="10"/>
      <c r="M321" s="10"/>
      <c r="N321" s="10"/>
    </row>
    <row r="322" spans="1:14" s="8" customFormat="1" ht="19">
      <c r="A322" s="45"/>
      <c r="B322" s="43"/>
      <c r="C322" s="9"/>
      <c r="D322" s="9"/>
      <c r="E322" s="9"/>
      <c r="F322" s="9"/>
      <c r="G322" s="9"/>
      <c r="H322" s="9"/>
      <c r="I322" s="9"/>
      <c r="J322" s="9"/>
      <c r="K322" s="10"/>
      <c r="L322" s="10"/>
      <c r="M322" s="10"/>
      <c r="N322" s="10"/>
    </row>
    <row r="323" spans="1:14" s="8" customFormat="1" ht="19">
      <c r="A323" s="45"/>
      <c r="B323" s="43"/>
      <c r="C323" s="9"/>
      <c r="D323" s="9"/>
      <c r="E323" s="9"/>
      <c r="F323" s="9"/>
      <c r="G323" s="9"/>
      <c r="H323" s="9"/>
      <c r="I323" s="9"/>
      <c r="J323" s="9"/>
      <c r="K323" s="10"/>
      <c r="L323" s="10"/>
      <c r="M323" s="10"/>
      <c r="N323" s="10"/>
    </row>
    <row r="324" spans="1:14" s="8" customFormat="1" ht="19">
      <c r="A324" s="45"/>
      <c r="B324" s="43"/>
      <c r="C324" s="9"/>
      <c r="D324" s="9"/>
      <c r="E324" s="9"/>
      <c r="F324" s="9"/>
      <c r="G324" s="9"/>
      <c r="H324" s="9"/>
      <c r="I324" s="9"/>
      <c r="J324" s="9"/>
      <c r="K324" s="10"/>
      <c r="L324" s="10"/>
      <c r="M324" s="10"/>
      <c r="N324" s="10"/>
    </row>
    <row r="325" spans="1:14" s="8" customFormat="1" ht="19">
      <c r="A325" s="45"/>
      <c r="B325" s="43"/>
      <c r="C325" s="9"/>
      <c r="D325" s="9"/>
      <c r="E325" s="9"/>
      <c r="F325" s="9"/>
      <c r="G325" s="9"/>
      <c r="H325" s="9"/>
      <c r="I325" s="9"/>
      <c r="J325" s="9"/>
      <c r="K325" s="10"/>
      <c r="L325" s="10"/>
      <c r="M325" s="10"/>
      <c r="N325" s="10"/>
    </row>
    <row r="326" spans="1:14" s="8" customFormat="1" ht="19">
      <c r="A326" s="45"/>
      <c r="B326" s="43"/>
      <c r="C326" s="9"/>
      <c r="D326" s="9"/>
      <c r="E326" s="9"/>
      <c r="F326" s="9"/>
      <c r="G326" s="9"/>
      <c r="H326" s="9"/>
      <c r="I326" s="9"/>
      <c r="J326" s="9"/>
      <c r="K326" s="10"/>
      <c r="L326" s="10"/>
      <c r="M326" s="10"/>
      <c r="N326" s="10"/>
    </row>
    <row r="327" spans="1:14" s="8" customFormat="1" ht="19">
      <c r="A327" s="45"/>
      <c r="B327" s="43"/>
      <c r="C327" s="9"/>
      <c r="D327" s="9"/>
      <c r="E327" s="9"/>
      <c r="F327" s="9"/>
      <c r="G327" s="9"/>
      <c r="H327" s="9"/>
      <c r="I327" s="9"/>
      <c r="J327" s="9"/>
      <c r="K327" s="10"/>
      <c r="L327" s="10"/>
      <c r="M327" s="10"/>
      <c r="N327" s="10"/>
    </row>
    <row r="328" spans="1:14" s="8" customFormat="1" ht="19">
      <c r="A328" s="45"/>
      <c r="B328" s="43"/>
      <c r="C328" s="9"/>
      <c r="D328" s="9"/>
      <c r="E328" s="9"/>
      <c r="F328" s="9"/>
      <c r="G328" s="9"/>
      <c r="H328" s="9"/>
      <c r="I328" s="9"/>
      <c r="J328" s="9"/>
      <c r="K328" s="10"/>
      <c r="L328" s="10"/>
      <c r="M328" s="10"/>
      <c r="N328" s="10"/>
    </row>
    <row r="329" spans="1:14" s="8" customFormat="1" ht="19">
      <c r="A329" s="45"/>
      <c r="B329" s="43"/>
      <c r="C329" s="9"/>
      <c r="D329" s="9"/>
      <c r="E329" s="9"/>
      <c r="F329" s="9"/>
      <c r="G329" s="9"/>
      <c r="H329" s="9"/>
      <c r="I329" s="9"/>
      <c r="J329" s="9"/>
      <c r="K329" s="10"/>
      <c r="L329" s="10"/>
      <c r="M329" s="10"/>
      <c r="N329" s="10"/>
    </row>
    <row r="330" spans="1:14" s="8" customFormat="1" ht="19">
      <c r="A330" s="45"/>
      <c r="B330" s="43"/>
      <c r="C330" s="9"/>
      <c r="D330" s="9"/>
      <c r="E330" s="9"/>
      <c r="F330" s="9"/>
      <c r="G330" s="9"/>
      <c r="H330" s="9"/>
      <c r="I330" s="9"/>
      <c r="J330" s="9"/>
      <c r="K330" s="10"/>
      <c r="L330" s="10"/>
      <c r="M330" s="10"/>
      <c r="N330" s="10"/>
    </row>
    <row r="331" spans="1:14" s="8" customFormat="1" ht="19">
      <c r="A331" s="45"/>
      <c r="B331" s="43"/>
      <c r="C331" s="9"/>
      <c r="D331" s="9"/>
      <c r="E331" s="9"/>
      <c r="F331" s="9"/>
      <c r="G331" s="9"/>
      <c r="H331" s="9"/>
      <c r="I331" s="9"/>
      <c r="J331" s="9"/>
      <c r="K331" s="10"/>
      <c r="L331" s="10"/>
      <c r="M331" s="10"/>
      <c r="N331" s="10"/>
    </row>
    <row r="332" spans="1:14" s="8" customFormat="1" ht="19">
      <c r="A332" s="45"/>
      <c r="B332" s="43"/>
      <c r="C332" s="9"/>
      <c r="D332" s="9"/>
      <c r="E332" s="9"/>
      <c r="F332" s="9"/>
      <c r="G332" s="9"/>
      <c r="H332" s="9"/>
      <c r="I332" s="9"/>
      <c r="J332" s="9"/>
      <c r="K332" s="10"/>
      <c r="L332" s="10"/>
      <c r="M332" s="10"/>
      <c r="N332" s="10"/>
    </row>
    <row r="333" spans="1:14" s="8" customFormat="1" ht="19">
      <c r="A333" s="45"/>
      <c r="B333" s="43"/>
      <c r="C333" s="9"/>
      <c r="D333" s="9"/>
      <c r="E333" s="9"/>
      <c r="F333" s="9"/>
      <c r="G333" s="9"/>
      <c r="H333" s="9"/>
      <c r="I333" s="9"/>
      <c r="J333" s="9"/>
      <c r="K333" s="10"/>
      <c r="L333" s="10"/>
      <c r="M333" s="10"/>
      <c r="N333" s="10"/>
    </row>
    <row r="334" spans="1:14" s="8" customFormat="1" ht="19">
      <c r="A334" s="45"/>
      <c r="B334" s="43"/>
      <c r="C334" s="9"/>
      <c r="D334" s="9"/>
      <c r="E334" s="9"/>
      <c r="F334" s="9"/>
      <c r="G334" s="9"/>
      <c r="H334" s="9"/>
      <c r="I334" s="9"/>
      <c r="J334" s="9"/>
      <c r="K334" s="10"/>
      <c r="L334" s="10"/>
      <c r="M334" s="10"/>
      <c r="N334" s="10"/>
    </row>
    <row r="335" spans="1:14" s="8" customFormat="1" ht="19">
      <c r="A335" s="45"/>
      <c r="B335" s="43"/>
      <c r="C335" s="9"/>
      <c r="D335" s="9"/>
      <c r="E335" s="9"/>
      <c r="F335" s="9"/>
      <c r="G335" s="9"/>
      <c r="H335" s="9"/>
      <c r="I335" s="9"/>
      <c r="J335" s="9"/>
      <c r="K335" s="10"/>
      <c r="L335" s="10"/>
      <c r="M335" s="10"/>
      <c r="N335" s="10"/>
    </row>
    <row r="336" spans="1:14" s="8" customFormat="1" ht="19">
      <c r="A336" s="45"/>
      <c r="B336" s="43"/>
      <c r="C336" s="9"/>
      <c r="D336" s="9"/>
      <c r="E336" s="9"/>
      <c r="F336" s="9"/>
      <c r="G336" s="9"/>
      <c r="H336" s="9"/>
      <c r="I336" s="9"/>
      <c r="J336" s="9"/>
      <c r="K336" s="10"/>
      <c r="L336" s="10"/>
      <c r="M336" s="10"/>
      <c r="N336" s="10"/>
    </row>
    <row r="337" spans="1:14" s="8" customFormat="1" ht="19">
      <c r="A337" s="45"/>
      <c r="B337" s="43"/>
      <c r="C337" s="9"/>
      <c r="D337" s="9"/>
      <c r="E337" s="9"/>
      <c r="F337" s="9"/>
      <c r="G337" s="9"/>
      <c r="H337" s="9"/>
      <c r="I337" s="9"/>
      <c r="J337" s="9"/>
      <c r="K337" s="10"/>
      <c r="L337" s="10"/>
      <c r="M337" s="10"/>
      <c r="N337" s="10"/>
    </row>
    <row r="338" spans="1:14" s="8" customFormat="1" ht="19">
      <c r="A338" s="45"/>
      <c r="B338" s="43"/>
      <c r="C338" s="9"/>
      <c r="D338" s="9"/>
      <c r="E338" s="9"/>
      <c r="F338" s="9"/>
      <c r="G338" s="9"/>
      <c r="H338" s="9"/>
      <c r="I338" s="9"/>
      <c r="J338" s="9"/>
      <c r="K338" s="10"/>
      <c r="L338" s="10"/>
      <c r="M338" s="10"/>
      <c r="N338" s="10"/>
    </row>
    <row r="339" spans="1:14" s="8" customFormat="1" ht="19">
      <c r="A339" s="45"/>
      <c r="B339" s="43"/>
      <c r="C339" s="9"/>
      <c r="D339" s="9"/>
      <c r="E339" s="9"/>
      <c r="F339" s="9"/>
      <c r="G339" s="9"/>
      <c r="H339" s="9"/>
      <c r="I339" s="9"/>
      <c r="J339" s="9"/>
      <c r="K339" s="10"/>
      <c r="L339" s="10"/>
      <c r="M339" s="10"/>
      <c r="N339" s="10"/>
    </row>
    <row r="340" spans="1:14" s="8" customFormat="1" ht="19">
      <c r="A340" s="45"/>
      <c r="B340" s="43"/>
      <c r="C340" s="9"/>
      <c r="D340" s="9"/>
      <c r="E340" s="9"/>
      <c r="F340" s="9"/>
      <c r="G340" s="9"/>
      <c r="H340" s="9"/>
      <c r="I340" s="9"/>
      <c r="J340" s="9"/>
      <c r="K340" s="10"/>
      <c r="L340" s="10"/>
      <c r="M340" s="10"/>
      <c r="N340" s="10"/>
    </row>
    <row r="341" spans="1:14" s="8" customFormat="1" ht="19">
      <c r="A341" s="45"/>
      <c r="B341" s="43"/>
      <c r="C341" s="9"/>
      <c r="D341" s="9"/>
      <c r="E341" s="9"/>
      <c r="F341" s="9"/>
      <c r="G341" s="9"/>
      <c r="H341" s="9"/>
      <c r="I341" s="9"/>
      <c r="J341" s="9"/>
      <c r="K341" s="10"/>
      <c r="L341" s="10"/>
      <c r="M341" s="10"/>
      <c r="N341" s="10"/>
    </row>
    <row r="342" spans="1:14" s="8" customFormat="1" ht="19">
      <c r="A342" s="45"/>
      <c r="B342" s="43"/>
      <c r="C342" s="9"/>
      <c r="D342" s="9"/>
      <c r="E342" s="9"/>
      <c r="F342" s="9"/>
      <c r="G342" s="9"/>
      <c r="H342" s="9"/>
      <c r="I342" s="9"/>
      <c r="J342" s="9"/>
      <c r="K342" s="10"/>
      <c r="L342" s="10"/>
      <c r="M342" s="10"/>
      <c r="N342" s="10"/>
    </row>
    <row r="343" spans="1:14" s="8" customFormat="1" ht="19">
      <c r="A343" s="45"/>
      <c r="B343" s="43"/>
      <c r="C343" s="9"/>
      <c r="D343" s="9"/>
      <c r="E343" s="9"/>
      <c r="F343" s="9"/>
      <c r="G343" s="9"/>
      <c r="H343" s="9"/>
      <c r="I343" s="9"/>
      <c r="J343" s="9"/>
      <c r="K343" s="10"/>
      <c r="L343" s="10"/>
      <c r="M343" s="10"/>
      <c r="N343" s="10"/>
    </row>
    <row r="344" spans="1:14" s="8" customFormat="1" ht="19">
      <c r="A344" s="45"/>
      <c r="B344" s="43"/>
      <c r="C344" s="9"/>
      <c r="D344" s="9"/>
      <c r="E344" s="9"/>
      <c r="F344" s="9"/>
      <c r="G344" s="9"/>
      <c r="H344" s="9"/>
      <c r="I344" s="9"/>
      <c r="J344" s="9"/>
      <c r="K344" s="10"/>
      <c r="L344" s="10"/>
      <c r="M344" s="10"/>
      <c r="N344" s="10"/>
    </row>
    <row r="345" spans="1:14" s="8" customFormat="1" ht="19">
      <c r="A345" s="45"/>
      <c r="B345" s="43"/>
      <c r="C345" s="9"/>
      <c r="D345" s="9"/>
      <c r="E345" s="9"/>
      <c r="F345" s="9"/>
      <c r="G345" s="9"/>
      <c r="H345" s="9"/>
      <c r="I345" s="9"/>
      <c r="J345" s="9"/>
      <c r="K345" s="10"/>
      <c r="L345" s="10"/>
      <c r="M345" s="10"/>
      <c r="N345" s="10"/>
    </row>
    <row r="346" spans="1:14" s="8" customFormat="1" ht="19">
      <c r="A346" s="45"/>
      <c r="B346" s="43"/>
      <c r="C346" s="9"/>
      <c r="D346" s="9"/>
      <c r="E346" s="9"/>
      <c r="F346" s="9"/>
      <c r="G346" s="9"/>
      <c r="H346" s="9"/>
      <c r="I346" s="9"/>
      <c r="J346" s="9"/>
      <c r="K346" s="10"/>
      <c r="L346" s="10"/>
      <c r="M346" s="10"/>
      <c r="N346" s="10"/>
    </row>
    <row r="347" spans="1:14" ht="19">
      <c r="A347" s="45"/>
    </row>
    <row r="348" spans="1:14" ht="19">
      <c r="A348" s="45"/>
    </row>
    <row r="349" spans="1:14" ht="19">
      <c r="A349" s="45"/>
    </row>
    <row r="350" spans="1:14" ht="19">
      <c r="A350" s="45"/>
    </row>
    <row r="351" spans="1:14" ht="19">
      <c r="A351" s="45"/>
    </row>
    <row r="352" spans="1:14" ht="19">
      <c r="A352" s="45"/>
    </row>
    <row r="353" spans="1:1" ht="19">
      <c r="A353" s="45"/>
    </row>
    <row r="354" spans="1:1" ht="19">
      <c r="A354" s="45"/>
    </row>
    <row r="355" spans="1:1" ht="19">
      <c r="A355" s="45"/>
    </row>
    <row r="356" spans="1:1" ht="19">
      <c r="A356" s="45"/>
    </row>
    <row r="357" spans="1:1" ht="19">
      <c r="A357" s="45"/>
    </row>
    <row r="358" spans="1:1" ht="19">
      <c r="A358" s="45"/>
    </row>
    <row r="359" spans="1:1" ht="19">
      <c r="A359" s="45"/>
    </row>
    <row r="360" spans="1:1" ht="19">
      <c r="A360" s="45"/>
    </row>
    <row r="361" spans="1:1" ht="19">
      <c r="A361" s="45"/>
    </row>
    <row r="362" spans="1:1" ht="19">
      <c r="A362" s="45"/>
    </row>
    <row r="363" spans="1:1" ht="19">
      <c r="A363" s="45"/>
    </row>
    <row r="364" spans="1:1" ht="19">
      <c r="A364" s="45"/>
    </row>
    <row r="365" spans="1:1" ht="19">
      <c r="A365" s="45"/>
    </row>
    <row r="366" spans="1:1" ht="19">
      <c r="A366" s="45"/>
    </row>
    <row r="367" spans="1:1" ht="19">
      <c r="A367" s="45"/>
    </row>
    <row r="368" spans="1:1" ht="19">
      <c r="A368" s="45"/>
    </row>
    <row r="369" spans="1:1" ht="19">
      <c r="A369" s="45"/>
    </row>
    <row r="370" spans="1:1" ht="19">
      <c r="A370" s="45"/>
    </row>
    <row r="371" spans="1:1" ht="19">
      <c r="A371" s="45"/>
    </row>
    <row r="372" spans="1:1" ht="19">
      <c r="A372" s="45"/>
    </row>
    <row r="373" spans="1:1" ht="19">
      <c r="A373" s="45"/>
    </row>
    <row r="374" spans="1:1" ht="19">
      <c r="A374" s="45"/>
    </row>
    <row r="375" spans="1:1" ht="19">
      <c r="A375" s="45"/>
    </row>
    <row r="376" spans="1:1" ht="19">
      <c r="A376" s="45"/>
    </row>
    <row r="377" spans="1:1" ht="19">
      <c r="A377" s="45"/>
    </row>
    <row r="378" spans="1:1" ht="19">
      <c r="A378" s="45"/>
    </row>
    <row r="379" spans="1:1" ht="19">
      <c r="A379" s="45"/>
    </row>
    <row r="380" spans="1:1" ht="19">
      <c r="A380" s="45"/>
    </row>
    <row r="381" spans="1:1" ht="19">
      <c r="A381" s="45"/>
    </row>
    <row r="382" spans="1:1" ht="19">
      <c r="A382" s="45"/>
    </row>
    <row r="383" spans="1:1" ht="19">
      <c r="A383" s="45"/>
    </row>
    <row r="384" spans="1:1" ht="19">
      <c r="A384" s="45"/>
    </row>
    <row r="385" spans="1:1" ht="19">
      <c r="A385" s="45"/>
    </row>
    <row r="386" spans="1:1" ht="19">
      <c r="A386" s="45"/>
    </row>
    <row r="387" spans="1:1" ht="19">
      <c r="A387" s="45"/>
    </row>
    <row r="388" spans="1:1" ht="19">
      <c r="A388" s="45"/>
    </row>
    <row r="389" spans="1:1" ht="19">
      <c r="A389" s="45"/>
    </row>
    <row r="390" spans="1:1" ht="19">
      <c r="A390" s="45"/>
    </row>
    <row r="391" spans="1:1" ht="19">
      <c r="A391" s="45"/>
    </row>
    <row r="392" spans="1:1" ht="19">
      <c r="A392" s="45"/>
    </row>
    <row r="393" spans="1:1" ht="19">
      <c r="A393" s="45"/>
    </row>
    <row r="394" spans="1:1" ht="19">
      <c r="A394" s="45"/>
    </row>
    <row r="395" spans="1:1" ht="19">
      <c r="A395" s="45"/>
    </row>
    <row r="396" spans="1:1" ht="19">
      <c r="A396" s="45"/>
    </row>
    <row r="397" spans="1:1" ht="19">
      <c r="A397" s="45"/>
    </row>
    <row r="398" spans="1:1" ht="19">
      <c r="A398" s="45"/>
    </row>
    <row r="399" spans="1:1" ht="19">
      <c r="A399" s="45"/>
    </row>
    <row r="400" spans="1:1" ht="19">
      <c r="A400" s="45"/>
    </row>
    <row r="401" spans="1:1" ht="19">
      <c r="A401" s="45"/>
    </row>
    <row r="402" spans="1:1" ht="19">
      <c r="A402" s="45"/>
    </row>
    <row r="403" spans="1:1" ht="19">
      <c r="A403" s="45"/>
    </row>
    <row r="404" spans="1:1" ht="19">
      <c r="A404" s="45"/>
    </row>
    <row r="405" spans="1:1" ht="19">
      <c r="A405" s="45"/>
    </row>
    <row r="406" spans="1:1" ht="19">
      <c r="A406" s="45"/>
    </row>
    <row r="407" spans="1:1" ht="19">
      <c r="A407" s="45"/>
    </row>
    <row r="408" spans="1:1" ht="19">
      <c r="A408" s="45"/>
    </row>
    <row r="409" spans="1:1" ht="19">
      <c r="A409" s="45"/>
    </row>
    <row r="410" spans="1:1" ht="19">
      <c r="A410" s="45"/>
    </row>
    <row r="411" spans="1:1" ht="19">
      <c r="A411" s="45"/>
    </row>
    <row r="412" spans="1:1" ht="19">
      <c r="A412" s="45"/>
    </row>
    <row r="413" spans="1:1" ht="19">
      <c r="A413" s="45"/>
    </row>
    <row r="414" spans="1:1" ht="19">
      <c r="A414" s="45"/>
    </row>
    <row r="415" spans="1:1" ht="19">
      <c r="A415" s="45"/>
    </row>
    <row r="416" spans="1:1" ht="19">
      <c r="A416" s="45"/>
    </row>
    <row r="417" spans="1:1" ht="19">
      <c r="A417" s="45"/>
    </row>
    <row r="418" spans="1:1" ht="19">
      <c r="A418" s="45"/>
    </row>
    <row r="419" spans="1:1" ht="19">
      <c r="A419" s="45"/>
    </row>
    <row r="420" spans="1:1" ht="19">
      <c r="A420" s="45"/>
    </row>
    <row r="421" spans="1:1" ht="19">
      <c r="A421" s="45"/>
    </row>
    <row r="422" spans="1:1" ht="19">
      <c r="A422" s="45"/>
    </row>
    <row r="423" spans="1:1" ht="19">
      <c r="A423" s="45"/>
    </row>
    <row r="424" spans="1:1" ht="19">
      <c r="A424" s="45"/>
    </row>
    <row r="425" spans="1:1" ht="19">
      <c r="A425" s="45"/>
    </row>
    <row r="426" spans="1:1" ht="19">
      <c r="A426" s="45"/>
    </row>
    <row r="427" spans="1:1" ht="19">
      <c r="A427" s="45"/>
    </row>
    <row r="428" spans="1:1" ht="19">
      <c r="A428" s="45"/>
    </row>
    <row r="429" spans="1:1" ht="19">
      <c r="A429" s="45"/>
    </row>
    <row r="430" spans="1:1" ht="19">
      <c r="A430" s="45"/>
    </row>
    <row r="431" spans="1:1" ht="19">
      <c r="A431" s="45"/>
    </row>
    <row r="432" spans="1:1" ht="19">
      <c r="A432" s="45"/>
    </row>
    <row r="433" spans="1:1" ht="19">
      <c r="A433" s="45"/>
    </row>
    <row r="434" spans="1:1" ht="19">
      <c r="A434" s="45"/>
    </row>
    <row r="435" spans="1:1" ht="19">
      <c r="A435" s="45"/>
    </row>
    <row r="436" spans="1:1" ht="19">
      <c r="A436" s="45"/>
    </row>
    <row r="437" spans="1:1" ht="19">
      <c r="A437" s="45"/>
    </row>
    <row r="438" spans="1:1" ht="19">
      <c r="A438" s="45"/>
    </row>
    <row r="439" spans="1:1" ht="19">
      <c r="A439" s="45"/>
    </row>
    <row r="440" spans="1:1" ht="19">
      <c r="A440" s="45"/>
    </row>
    <row r="441" spans="1:1" ht="19">
      <c r="A441" s="45"/>
    </row>
    <row r="442" spans="1:1" ht="19">
      <c r="A442" s="45"/>
    </row>
    <row r="443" spans="1:1" ht="19">
      <c r="A443" s="45"/>
    </row>
    <row r="444" spans="1:1" ht="19">
      <c r="A444" s="45"/>
    </row>
    <row r="445" spans="1:1" ht="19">
      <c r="A445" s="45"/>
    </row>
    <row r="446" spans="1:1" ht="19">
      <c r="A446" s="45"/>
    </row>
    <row r="447" spans="1:1" ht="19">
      <c r="A447" s="45"/>
    </row>
    <row r="448" spans="1:1" ht="19">
      <c r="A448" s="45"/>
    </row>
    <row r="449" spans="1:1" ht="19">
      <c r="A449" s="45"/>
    </row>
    <row r="450" spans="1:1" ht="19">
      <c r="A450" s="45"/>
    </row>
    <row r="451" spans="1:1" ht="19">
      <c r="A451" s="45"/>
    </row>
    <row r="452" spans="1:1" ht="19">
      <c r="A452" s="45"/>
    </row>
    <row r="453" spans="1:1" ht="19">
      <c r="A453" s="45"/>
    </row>
    <row r="454" spans="1:1" ht="19">
      <c r="A454" s="45"/>
    </row>
    <row r="455" spans="1:1" ht="19">
      <c r="A455" s="45"/>
    </row>
    <row r="456" spans="1:1" ht="19">
      <c r="A456" s="45"/>
    </row>
    <row r="457" spans="1:1" ht="19">
      <c r="A457" s="45"/>
    </row>
    <row r="458" spans="1:1" ht="19">
      <c r="A458" s="45"/>
    </row>
    <row r="459" spans="1:1" ht="19">
      <c r="A459" s="45"/>
    </row>
    <row r="460" spans="1:1" ht="19">
      <c r="A460" s="45"/>
    </row>
    <row r="461" spans="1:1" ht="19">
      <c r="A461" s="45"/>
    </row>
    <row r="462" spans="1:1" ht="19">
      <c r="A462" s="45"/>
    </row>
    <row r="463" spans="1:1" ht="19">
      <c r="A463" s="45"/>
    </row>
    <row r="464" spans="1:1" ht="19">
      <c r="A464" s="45"/>
    </row>
    <row r="465" spans="1:1" ht="19">
      <c r="A465" s="45"/>
    </row>
    <row r="466" spans="1:1" ht="19">
      <c r="A466" s="45"/>
    </row>
    <row r="467" spans="1:1" ht="19">
      <c r="A467" s="45"/>
    </row>
    <row r="468" spans="1:1" ht="19">
      <c r="A468" s="45"/>
    </row>
    <row r="469" spans="1:1" ht="19">
      <c r="A469" s="45"/>
    </row>
    <row r="470" spans="1:1" ht="19">
      <c r="A470" s="45"/>
    </row>
    <row r="471" spans="1:1" ht="19">
      <c r="A471" s="45"/>
    </row>
    <row r="472" spans="1:1" ht="19">
      <c r="A472" s="45"/>
    </row>
    <row r="473" spans="1:1" ht="19">
      <c r="A473" s="45"/>
    </row>
    <row r="474" spans="1:1" ht="19">
      <c r="A474" s="45"/>
    </row>
    <row r="475" spans="1:1" ht="19">
      <c r="A475" s="45"/>
    </row>
    <row r="476" spans="1:1" ht="19">
      <c r="A476" s="45"/>
    </row>
    <row r="477" spans="1:1" ht="19">
      <c r="A477" s="45"/>
    </row>
    <row r="478" spans="1:1" ht="19">
      <c r="A478" s="45"/>
    </row>
    <row r="479" spans="1:1" ht="19">
      <c r="A479" s="45"/>
    </row>
    <row r="480" spans="1:1" ht="19">
      <c r="A480" s="45"/>
    </row>
    <row r="481" spans="1:1" ht="19">
      <c r="A481" s="45"/>
    </row>
    <row r="482" spans="1:1" ht="19">
      <c r="A482" s="45"/>
    </row>
    <row r="483" spans="1:1" ht="19">
      <c r="A483" s="45"/>
    </row>
    <row r="484" spans="1:1" ht="19">
      <c r="A484" s="45"/>
    </row>
    <row r="485" spans="1:1" ht="19">
      <c r="A485" s="45"/>
    </row>
    <row r="486" spans="1:1" ht="19">
      <c r="A486" s="45"/>
    </row>
    <row r="487" spans="1:1" ht="19">
      <c r="A487" s="45"/>
    </row>
    <row r="488" spans="1:1" ht="19">
      <c r="A488" s="45"/>
    </row>
    <row r="489" spans="1:1" ht="19">
      <c r="A489" s="45"/>
    </row>
    <row r="490" spans="1:1" ht="19">
      <c r="A490" s="45"/>
    </row>
    <row r="491" spans="1:1" ht="19">
      <c r="A491" s="45"/>
    </row>
    <row r="492" spans="1:1" ht="19">
      <c r="A492" s="45"/>
    </row>
    <row r="493" spans="1:1" ht="19">
      <c r="A493" s="45"/>
    </row>
    <row r="494" spans="1:1" ht="19">
      <c r="A494" s="45"/>
    </row>
    <row r="495" spans="1:1" ht="19">
      <c r="A495" s="45"/>
    </row>
    <row r="496" spans="1:1" ht="19">
      <c r="A496" s="45"/>
    </row>
    <row r="497" spans="1:1" ht="19">
      <c r="A497" s="45"/>
    </row>
    <row r="498" spans="1:1" ht="19">
      <c r="A498" s="45"/>
    </row>
    <row r="499" spans="1:1" ht="19">
      <c r="A499" s="45"/>
    </row>
    <row r="500" spans="1:1" ht="19">
      <c r="A500" s="45"/>
    </row>
    <row r="501" spans="1:1" ht="19">
      <c r="A501" s="45"/>
    </row>
    <row r="502" spans="1:1" ht="19">
      <c r="A502" s="45"/>
    </row>
    <row r="503" spans="1:1" ht="19">
      <c r="A503" s="45"/>
    </row>
    <row r="504" spans="1:1" ht="19">
      <c r="A504" s="45"/>
    </row>
    <row r="505" spans="1:1" ht="19">
      <c r="A505" s="45"/>
    </row>
    <row r="506" spans="1:1" ht="19">
      <c r="A506" s="45"/>
    </row>
    <row r="507" spans="1:1" ht="19">
      <c r="A507" s="45"/>
    </row>
    <row r="508" spans="1:1" ht="19">
      <c r="A508" s="45"/>
    </row>
    <row r="509" spans="1:1" ht="19">
      <c r="A509" s="45"/>
    </row>
    <row r="510" spans="1:1" ht="19">
      <c r="A510" s="45"/>
    </row>
    <row r="511" spans="1:1" ht="19">
      <c r="A511" s="45"/>
    </row>
    <row r="512" spans="1:1" ht="19">
      <c r="A512" s="45"/>
    </row>
    <row r="513" spans="1:1" ht="19">
      <c r="A513" s="45"/>
    </row>
    <row r="514" spans="1:1" ht="19">
      <c r="A514" s="45"/>
    </row>
    <row r="515" spans="1:1" ht="19">
      <c r="A515" s="45"/>
    </row>
    <row r="516" spans="1:1" ht="19">
      <c r="A516" s="45"/>
    </row>
    <row r="517" spans="1:1" ht="19">
      <c r="A517" s="45"/>
    </row>
    <row r="518" spans="1:1" ht="19">
      <c r="A518" s="45"/>
    </row>
    <row r="519" spans="1:1" ht="19">
      <c r="A519" s="45"/>
    </row>
    <row r="520" spans="1:1" ht="19">
      <c r="A520" s="45"/>
    </row>
    <row r="521" spans="1:1" ht="19">
      <c r="A521" s="45"/>
    </row>
    <row r="522" spans="1:1" ht="19">
      <c r="A522" s="45"/>
    </row>
    <row r="523" spans="1:1" ht="19">
      <c r="A523" s="45"/>
    </row>
    <row r="524" spans="1:1" ht="19">
      <c r="A524" s="45"/>
    </row>
    <row r="525" spans="1:1" ht="19">
      <c r="A525" s="45"/>
    </row>
    <row r="526" spans="1:1" ht="19">
      <c r="A526" s="45"/>
    </row>
    <row r="527" spans="1:1" ht="19">
      <c r="A527" s="45"/>
    </row>
    <row r="528" spans="1:1" ht="19">
      <c r="A528" s="45"/>
    </row>
    <row r="529" spans="1:1" ht="19">
      <c r="A529" s="45"/>
    </row>
    <row r="530" spans="1:1" ht="19">
      <c r="A530" s="45"/>
    </row>
    <row r="531" spans="1:1" ht="19">
      <c r="A531" s="45"/>
    </row>
    <row r="532" spans="1:1" ht="19">
      <c r="A532" s="45"/>
    </row>
    <row r="533" spans="1:1" ht="19">
      <c r="A533" s="45"/>
    </row>
    <row r="534" spans="1:1" ht="19">
      <c r="A534" s="45"/>
    </row>
    <row r="535" spans="1:1" ht="19">
      <c r="A535" s="45"/>
    </row>
    <row r="536" spans="1:1" ht="19">
      <c r="A536" s="45"/>
    </row>
    <row r="537" spans="1:1" ht="19">
      <c r="A537" s="45"/>
    </row>
    <row r="538" spans="1:1" ht="19">
      <c r="A538" s="45"/>
    </row>
    <row r="539" spans="1:1" ht="19">
      <c r="A539" s="45"/>
    </row>
    <row r="540" spans="1:1" ht="19">
      <c r="A540" s="45"/>
    </row>
    <row r="541" spans="1:1" ht="19">
      <c r="A541" s="45"/>
    </row>
    <row r="542" spans="1:1" ht="19">
      <c r="A542" s="45"/>
    </row>
    <row r="543" spans="1:1" ht="19">
      <c r="A543" s="45"/>
    </row>
    <row r="544" spans="1:1" ht="19">
      <c r="A544" s="45"/>
    </row>
    <row r="545" spans="1:1" ht="19">
      <c r="A545" s="45"/>
    </row>
    <row r="546" spans="1:1" ht="19">
      <c r="A546" s="45"/>
    </row>
    <row r="547" spans="1:1" ht="19">
      <c r="A547" s="45"/>
    </row>
    <row r="548" spans="1:1" ht="19">
      <c r="A548" s="45"/>
    </row>
    <row r="549" spans="1:1" ht="19">
      <c r="A549" s="45"/>
    </row>
    <row r="550" spans="1:1" ht="19">
      <c r="A550" s="45"/>
    </row>
    <row r="551" spans="1:1" ht="19">
      <c r="A551" s="45"/>
    </row>
    <row r="552" spans="1:1" ht="19">
      <c r="A552" s="45"/>
    </row>
    <row r="553" spans="1:1" ht="19">
      <c r="A553" s="45"/>
    </row>
    <row r="554" spans="1:1" ht="19">
      <c r="A554" s="45"/>
    </row>
    <row r="555" spans="1:1" ht="19">
      <c r="A555" s="45"/>
    </row>
    <row r="556" spans="1:1" ht="19">
      <c r="A556" s="45"/>
    </row>
    <row r="557" spans="1:1" ht="19">
      <c r="A557" s="45"/>
    </row>
    <row r="558" spans="1:1" ht="19">
      <c r="A558" s="45"/>
    </row>
    <row r="559" spans="1:1" ht="19">
      <c r="A559" s="45"/>
    </row>
    <row r="560" spans="1:1" ht="19">
      <c r="A560" s="45"/>
    </row>
    <row r="561" spans="1:1" ht="19">
      <c r="A561" s="45"/>
    </row>
    <row r="562" spans="1:1" ht="19">
      <c r="A562" s="45"/>
    </row>
    <row r="563" spans="1:1" ht="19">
      <c r="A563" s="45"/>
    </row>
    <row r="564" spans="1:1" ht="19">
      <c r="A564" s="45"/>
    </row>
    <row r="565" spans="1:1" ht="19">
      <c r="A565" s="45"/>
    </row>
    <row r="566" spans="1:1" ht="19">
      <c r="A566" s="45"/>
    </row>
    <row r="567" spans="1:1" ht="19">
      <c r="A567" s="45"/>
    </row>
    <row r="568" spans="1:1" ht="19">
      <c r="A568" s="45"/>
    </row>
    <row r="569" spans="1:1" ht="19">
      <c r="A569" s="45"/>
    </row>
    <row r="570" spans="1:1" ht="19">
      <c r="A570" s="45"/>
    </row>
    <row r="571" spans="1:1" ht="19">
      <c r="A571" s="45"/>
    </row>
    <row r="572" spans="1:1" ht="19">
      <c r="A572" s="45"/>
    </row>
    <row r="573" spans="1:1" ht="19">
      <c r="A573" s="45"/>
    </row>
    <row r="574" spans="1:1" ht="19">
      <c r="A574" s="45"/>
    </row>
    <row r="575" spans="1:1" ht="19">
      <c r="A575" s="45"/>
    </row>
    <row r="576" spans="1:1" ht="19">
      <c r="A576" s="45"/>
    </row>
    <row r="577" spans="1:1" ht="19">
      <c r="A577" s="45"/>
    </row>
    <row r="578" spans="1:1" ht="19">
      <c r="A578" s="45"/>
    </row>
    <row r="579" spans="1:1" ht="19">
      <c r="A579" s="45"/>
    </row>
    <row r="580" spans="1:1" ht="19">
      <c r="A580" s="45"/>
    </row>
    <row r="581" spans="1:1" ht="19">
      <c r="A581" s="45"/>
    </row>
    <row r="582" spans="1:1" ht="19">
      <c r="A582" s="45"/>
    </row>
    <row r="583" spans="1:1" ht="19">
      <c r="A583" s="45"/>
    </row>
    <row r="584" spans="1:1" ht="19">
      <c r="A584" s="45"/>
    </row>
    <row r="585" spans="1:1" ht="19">
      <c r="A585" s="45"/>
    </row>
    <row r="586" spans="1:1" ht="19">
      <c r="A586" s="45"/>
    </row>
    <row r="587" spans="1:1" ht="19">
      <c r="A587" s="45"/>
    </row>
    <row r="588" spans="1:1" ht="19">
      <c r="A588" s="45"/>
    </row>
    <row r="589" spans="1:1" ht="19">
      <c r="A589" s="45"/>
    </row>
    <row r="590" spans="1:1" ht="19">
      <c r="A590" s="45"/>
    </row>
    <row r="591" spans="1:1" ht="19">
      <c r="A591" s="45"/>
    </row>
    <row r="592" spans="1:1" ht="19">
      <c r="A592" s="45"/>
    </row>
    <row r="593" spans="1:1" ht="19">
      <c r="A593" s="45"/>
    </row>
    <row r="594" spans="1:1" ht="19">
      <c r="A594" s="45"/>
    </row>
    <row r="595" spans="1:1" ht="19">
      <c r="A595" s="45"/>
    </row>
    <row r="596" spans="1:1" ht="19">
      <c r="A596" s="45"/>
    </row>
    <row r="597" spans="1:1" ht="19">
      <c r="A597" s="45"/>
    </row>
    <row r="598" spans="1:1" ht="19">
      <c r="A598" s="45"/>
    </row>
    <row r="599" spans="1:1" ht="19">
      <c r="A599" s="45"/>
    </row>
    <row r="600" spans="1:1" ht="19">
      <c r="A600" s="45"/>
    </row>
    <row r="601" spans="1:1" ht="19">
      <c r="A601" s="45"/>
    </row>
    <row r="602" spans="1:1" ht="19">
      <c r="A602" s="45"/>
    </row>
    <row r="603" spans="1:1" ht="19">
      <c r="A603" s="45"/>
    </row>
    <row r="604" spans="1:1" ht="19">
      <c r="A604" s="45"/>
    </row>
    <row r="605" spans="1:1" ht="19">
      <c r="A605" s="45"/>
    </row>
    <row r="606" spans="1:1" ht="19">
      <c r="A606" s="45"/>
    </row>
    <row r="607" spans="1:1" ht="19">
      <c r="A607" s="45"/>
    </row>
    <row r="608" spans="1:1" ht="19">
      <c r="A608" s="45"/>
    </row>
    <row r="609" spans="1:1" ht="19">
      <c r="A609" s="45"/>
    </row>
    <row r="610" spans="1:1" ht="19">
      <c r="A610" s="45"/>
    </row>
    <row r="611" spans="1:1" ht="19">
      <c r="A611" s="45"/>
    </row>
    <row r="612" spans="1:1" ht="19">
      <c r="A612" s="45"/>
    </row>
    <row r="613" spans="1:1" ht="19">
      <c r="A613" s="45"/>
    </row>
    <row r="614" spans="1:1" ht="19">
      <c r="A614" s="45"/>
    </row>
    <row r="615" spans="1:1" ht="19">
      <c r="A615" s="45"/>
    </row>
    <row r="616" spans="1:1" ht="19">
      <c r="A616" s="45"/>
    </row>
    <row r="617" spans="1:1" ht="19">
      <c r="A617" s="45"/>
    </row>
    <row r="618" spans="1:1" ht="19">
      <c r="A618" s="45"/>
    </row>
    <row r="619" spans="1:1" ht="19">
      <c r="A619" s="45"/>
    </row>
    <row r="620" spans="1:1" ht="19">
      <c r="A620" s="45"/>
    </row>
    <row r="621" spans="1:1" ht="19">
      <c r="A621" s="45"/>
    </row>
    <row r="622" spans="1:1" ht="19">
      <c r="A622" s="45"/>
    </row>
    <row r="623" spans="1:1" ht="19">
      <c r="A623" s="45"/>
    </row>
    <row r="624" spans="1:1" ht="19">
      <c r="A624" s="45"/>
    </row>
    <row r="625" spans="1:1" ht="19">
      <c r="A625" s="45"/>
    </row>
    <row r="626" spans="1:1" ht="19">
      <c r="A626" s="45"/>
    </row>
    <row r="627" spans="1:1" ht="19">
      <c r="A627" s="45"/>
    </row>
    <row r="628" spans="1:1" ht="19">
      <c r="A628" s="45"/>
    </row>
    <row r="629" spans="1:1" ht="19">
      <c r="A629" s="45"/>
    </row>
    <row r="630" spans="1:1" ht="19">
      <c r="A630" s="45"/>
    </row>
    <row r="631" spans="1:1" ht="19">
      <c r="A631" s="45"/>
    </row>
    <row r="632" spans="1:1" ht="19">
      <c r="A632" s="45"/>
    </row>
    <row r="633" spans="1:1" ht="19">
      <c r="A633" s="45"/>
    </row>
    <row r="634" spans="1:1" ht="19">
      <c r="A634" s="45"/>
    </row>
    <row r="635" spans="1:1" ht="19">
      <c r="A635" s="45"/>
    </row>
    <row r="636" spans="1:1" ht="19">
      <c r="A636" s="45"/>
    </row>
    <row r="637" spans="1:1" ht="19">
      <c r="A637" s="45"/>
    </row>
    <row r="638" spans="1:1" ht="19">
      <c r="A638" s="45"/>
    </row>
    <row r="639" spans="1:1" ht="19">
      <c r="A639" s="45"/>
    </row>
    <row r="640" spans="1:1" ht="19">
      <c r="A640" s="45"/>
    </row>
    <row r="641" spans="1:1" ht="19">
      <c r="A641" s="45"/>
    </row>
    <row r="642" spans="1:1" ht="19">
      <c r="A642" s="45"/>
    </row>
    <row r="643" spans="1:1" ht="19">
      <c r="A643" s="45"/>
    </row>
    <row r="644" spans="1:1" ht="19">
      <c r="A644" s="45"/>
    </row>
    <row r="645" spans="1:1" ht="19">
      <c r="A645" s="45"/>
    </row>
    <row r="646" spans="1:1" ht="19">
      <c r="A646" s="45"/>
    </row>
    <row r="647" spans="1:1" ht="19">
      <c r="A647" s="45"/>
    </row>
    <row r="648" spans="1:1" ht="19">
      <c r="A648" s="45"/>
    </row>
    <row r="649" spans="1:1" ht="19">
      <c r="A649" s="45"/>
    </row>
    <row r="650" spans="1:1" ht="19">
      <c r="A650" s="45"/>
    </row>
    <row r="651" spans="1:1" ht="19">
      <c r="A651" s="45"/>
    </row>
    <row r="652" spans="1:1" ht="19">
      <c r="A652" s="45"/>
    </row>
    <row r="653" spans="1:1" ht="19">
      <c r="A653" s="45"/>
    </row>
    <row r="654" spans="1:1" ht="19">
      <c r="A654" s="45"/>
    </row>
    <row r="655" spans="1:1" ht="19">
      <c r="A655" s="45"/>
    </row>
    <row r="656" spans="1:1" ht="19">
      <c r="A656" s="45"/>
    </row>
    <row r="657" spans="1:1" ht="19">
      <c r="A657" s="45"/>
    </row>
    <row r="658" spans="1:1" ht="19">
      <c r="A658" s="45"/>
    </row>
    <row r="659" spans="1:1" ht="19">
      <c r="A659" s="45"/>
    </row>
    <row r="660" spans="1:1" ht="19">
      <c r="A660" s="45"/>
    </row>
    <row r="661" spans="1:1" ht="19">
      <c r="A661" s="45"/>
    </row>
    <row r="662" spans="1:1" ht="19">
      <c r="A662" s="45"/>
    </row>
    <row r="663" spans="1:1" ht="19">
      <c r="A663" s="45"/>
    </row>
    <row r="664" spans="1:1" ht="19">
      <c r="A664" s="45"/>
    </row>
    <row r="665" spans="1:1" ht="19">
      <c r="A665" s="45"/>
    </row>
    <row r="666" spans="1:1" ht="19">
      <c r="A666" s="45"/>
    </row>
    <row r="667" spans="1:1" ht="19">
      <c r="A667" s="45"/>
    </row>
    <row r="668" spans="1:1" ht="19">
      <c r="A668" s="45"/>
    </row>
    <row r="669" spans="1:1" ht="19">
      <c r="A669" s="45"/>
    </row>
    <row r="670" spans="1:1" ht="19">
      <c r="A670" s="45"/>
    </row>
    <row r="671" spans="1:1" ht="19">
      <c r="A671" s="45"/>
    </row>
    <row r="672" spans="1:1" ht="19">
      <c r="A672" s="45"/>
    </row>
    <row r="673" spans="1:1" ht="19">
      <c r="A673" s="45"/>
    </row>
    <row r="674" spans="1:1" ht="19">
      <c r="A674" s="45"/>
    </row>
    <row r="675" spans="1:1" ht="19">
      <c r="A675" s="45"/>
    </row>
    <row r="676" spans="1:1" ht="19">
      <c r="A676" s="45"/>
    </row>
    <row r="677" spans="1:1" ht="19">
      <c r="A677" s="45"/>
    </row>
    <row r="678" spans="1:1" ht="19">
      <c r="A678" s="45"/>
    </row>
    <row r="679" spans="1:1" ht="19">
      <c r="A679" s="45"/>
    </row>
    <row r="680" spans="1:1" ht="19">
      <c r="A680" s="45"/>
    </row>
    <row r="681" spans="1:1" ht="19">
      <c r="A681" s="45"/>
    </row>
    <row r="682" spans="1:1" ht="19">
      <c r="A682" s="45"/>
    </row>
    <row r="683" spans="1:1" ht="19">
      <c r="A683" s="45"/>
    </row>
    <row r="684" spans="1:1" ht="19">
      <c r="A684" s="45"/>
    </row>
    <row r="685" spans="1:1" ht="19">
      <c r="A685" s="45"/>
    </row>
    <row r="686" spans="1:1" ht="19">
      <c r="A686" s="45"/>
    </row>
    <row r="687" spans="1:1" ht="19">
      <c r="A687" s="45"/>
    </row>
    <row r="688" spans="1:1" ht="19">
      <c r="A688" s="45"/>
    </row>
    <row r="689" spans="1:1" ht="19">
      <c r="A689" s="45"/>
    </row>
    <row r="690" spans="1:1" ht="19">
      <c r="A690" s="45"/>
    </row>
    <row r="691" spans="1:1" ht="19">
      <c r="A691" s="45"/>
    </row>
    <row r="692" spans="1:1" ht="19">
      <c r="A692" s="45"/>
    </row>
    <row r="693" spans="1:1" ht="19">
      <c r="A693" s="45"/>
    </row>
    <row r="694" spans="1:1" ht="19">
      <c r="A694" s="45"/>
    </row>
    <row r="695" spans="1:1" ht="19">
      <c r="A695" s="45"/>
    </row>
    <row r="696" spans="1:1" ht="19">
      <c r="A696" s="45"/>
    </row>
    <row r="697" spans="1:1" ht="19">
      <c r="A697" s="45"/>
    </row>
    <row r="698" spans="1:1" ht="19">
      <c r="A698" s="45"/>
    </row>
    <row r="699" spans="1:1" ht="19">
      <c r="A699" s="45"/>
    </row>
    <row r="700" spans="1:1" ht="19">
      <c r="A700" s="45"/>
    </row>
    <row r="701" spans="1:1" ht="19">
      <c r="A701" s="45"/>
    </row>
    <row r="702" spans="1:1" ht="19">
      <c r="A702" s="45"/>
    </row>
    <row r="703" spans="1:1" ht="19">
      <c r="A703" s="45"/>
    </row>
    <row r="704" spans="1:1" ht="19">
      <c r="A704" s="45"/>
    </row>
    <row r="705" spans="1:1" ht="19">
      <c r="A705" s="45"/>
    </row>
    <row r="706" spans="1:1" ht="19">
      <c r="A706" s="45"/>
    </row>
    <row r="707" spans="1:1" ht="19">
      <c r="A707" s="45"/>
    </row>
    <row r="708" spans="1:1" ht="19">
      <c r="A708" s="45"/>
    </row>
    <row r="709" spans="1:1" ht="19">
      <c r="A709" s="45"/>
    </row>
    <row r="710" spans="1:1" ht="19">
      <c r="A710" s="45"/>
    </row>
    <row r="711" spans="1:1" ht="19">
      <c r="A711" s="45"/>
    </row>
    <row r="712" spans="1:1" ht="19">
      <c r="A712" s="45"/>
    </row>
    <row r="713" spans="1:1" ht="19">
      <c r="A713" s="45"/>
    </row>
    <row r="714" spans="1:1" ht="19">
      <c r="A714" s="45"/>
    </row>
    <row r="715" spans="1:1" ht="19">
      <c r="A715" s="45"/>
    </row>
    <row r="716" spans="1:1" ht="19">
      <c r="A716" s="45"/>
    </row>
    <row r="717" spans="1:1" ht="19">
      <c r="A717" s="45"/>
    </row>
    <row r="718" spans="1:1" ht="19">
      <c r="A718" s="45"/>
    </row>
    <row r="719" spans="1:1" ht="19">
      <c r="A719" s="45"/>
    </row>
    <row r="720" spans="1:1" ht="19">
      <c r="A720" s="45"/>
    </row>
    <row r="721" spans="1:1" ht="19">
      <c r="A721" s="45"/>
    </row>
    <row r="722" spans="1:1" ht="19">
      <c r="A722" s="45"/>
    </row>
    <row r="723" spans="1:1" ht="19">
      <c r="A723" s="45"/>
    </row>
    <row r="724" spans="1:1" ht="19">
      <c r="A724" s="45"/>
    </row>
    <row r="725" spans="1:1" ht="19">
      <c r="A725" s="45"/>
    </row>
    <row r="726" spans="1:1" ht="19">
      <c r="A726" s="45"/>
    </row>
    <row r="727" spans="1:1" ht="19">
      <c r="A727" s="45"/>
    </row>
    <row r="728" spans="1:1" ht="19">
      <c r="A728" s="45"/>
    </row>
    <row r="729" spans="1:1" ht="19">
      <c r="A729" s="45"/>
    </row>
    <row r="730" spans="1:1" ht="19">
      <c r="A730" s="45"/>
    </row>
    <row r="731" spans="1:1" ht="19">
      <c r="A731" s="45"/>
    </row>
    <row r="732" spans="1:1" ht="19">
      <c r="A732" s="45"/>
    </row>
    <row r="733" spans="1:1" ht="19">
      <c r="A733" s="45"/>
    </row>
    <row r="734" spans="1:1" ht="19">
      <c r="A734" s="45"/>
    </row>
    <row r="735" spans="1:1" ht="19">
      <c r="A735" s="45"/>
    </row>
    <row r="736" spans="1:1" ht="19">
      <c r="A736" s="45"/>
    </row>
    <row r="737" spans="1:1" ht="19">
      <c r="A737" s="45"/>
    </row>
    <row r="738" spans="1:1" ht="19">
      <c r="A738" s="45"/>
    </row>
    <row r="739" spans="1:1" ht="19">
      <c r="A739" s="45"/>
    </row>
    <row r="740" spans="1:1" ht="19">
      <c r="A740" s="45"/>
    </row>
    <row r="741" spans="1:1" ht="19">
      <c r="A741" s="45"/>
    </row>
    <row r="742" spans="1:1" ht="19">
      <c r="A742" s="45"/>
    </row>
    <row r="743" spans="1:1" ht="19">
      <c r="A743" s="45"/>
    </row>
    <row r="744" spans="1:1" ht="19">
      <c r="A744" s="45"/>
    </row>
    <row r="745" spans="1:1" ht="19">
      <c r="A745" s="45"/>
    </row>
    <row r="746" spans="1:1" ht="19">
      <c r="A746" s="45"/>
    </row>
    <row r="747" spans="1:1" ht="19">
      <c r="A747" s="45"/>
    </row>
    <row r="748" spans="1:1" ht="19">
      <c r="A748" s="45"/>
    </row>
    <row r="749" spans="1:1" ht="19">
      <c r="A749" s="45"/>
    </row>
    <row r="750" spans="1:1" ht="19">
      <c r="A750" s="45"/>
    </row>
    <row r="751" spans="1:1" ht="19">
      <c r="A751" s="45"/>
    </row>
    <row r="752" spans="1:1" ht="19">
      <c r="A752" s="45"/>
    </row>
    <row r="753" spans="1:1" ht="19">
      <c r="A753" s="45"/>
    </row>
    <row r="754" spans="1:1" ht="19">
      <c r="A754" s="45"/>
    </row>
    <row r="755" spans="1:1" ht="19">
      <c r="A755" s="45"/>
    </row>
    <row r="756" spans="1:1" ht="19">
      <c r="A756" s="45"/>
    </row>
    <row r="757" spans="1:1" ht="19">
      <c r="A757" s="45"/>
    </row>
    <row r="758" spans="1:1" ht="19">
      <c r="A758" s="45"/>
    </row>
    <row r="759" spans="1:1" ht="19">
      <c r="A759" s="45"/>
    </row>
    <row r="760" spans="1:1" ht="19">
      <c r="A760" s="45"/>
    </row>
    <row r="761" spans="1:1" ht="19">
      <c r="A761" s="45"/>
    </row>
    <row r="762" spans="1:1" ht="19">
      <c r="A762" s="45"/>
    </row>
    <row r="763" spans="1:1" ht="19">
      <c r="A763" s="45"/>
    </row>
    <row r="764" spans="1:1" ht="19">
      <c r="A764" s="45"/>
    </row>
    <row r="765" spans="1:1" ht="19">
      <c r="A765" s="45"/>
    </row>
    <row r="766" spans="1:1" ht="19">
      <c r="A766" s="45"/>
    </row>
    <row r="767" spans="1:1" ht="19">
      <c r="A767" s="45"/>
    </row>
    <row r="768" spans="1:1" ht="19">
      <c r="A768" s="45"/>
    </row>
    <row r="769" spans="1:1" ht="19">
      <c r="A769" s="45"/>
    </row>
    <row r="770" spans="1:1" ht="19">
      <c r="A770" s="45"/>
    </row>
    <row r="771" spans="1:1" ht="19">
      <c r="A771" s="45"/>
    </row>
    <row r="772" spans="1:1" ht="19">
      <c r="A772" s="45"/>
    </row>
    <row r="773" spans="1:1" ht="19">
      <c r="A773" s="45"/>
    </row>
    <row r="774" spans="1:1" ht="19">
      <c r="A774" s="45"/>
    </row>
    <row r="775" spans="1:1" ht="19">
      <c r="A775" s="45"/>
    </row>
    <row r="776" spans="1:1" ht="19">
      <c r="A776" s="45"/>
    </row>
    <row r="777" spans="1:1" ht="19">
      <c r="A777" s="45"/>
    </row>
    <row r="778" spans="1:1" ht="19">
      <c r="A778" s="45"/>
    </row>
    <row r="779" spans="1:1" ht="19">
      <c r="A779" s="45"/>
    </row>
    <row r="780" spans="1:1" ht="19">
      <c r="A780" s="45"/>
    </row>
    <row r="781" spans="1:1" ht="19">
      <c r="A781" s="45"/>
    </row>
    <row r="782" spans="1:1" ht="19">
      <c r="A782" s="45"/>
    </row>
    <row r="783" spans="1:1" ht="19">
      <c r="A783" s="45"/>
    </row>
    <row r="784" spans="1:1" ht="19">
      <c r="A784" s="45"/>
    </row>
    <row r="785" spans="1:1" ht="19">
      <c r="A785" s="45"/>
    </row>
    <row r="786" spans="1:1" ht="19">
      <c r="A786" s="45"/>
    </row>
    <row r="787" spans="1:1" ht="19">
      <c r="A787" s="45"/>
    </row>
    <row r="788" spans="1:1" ht="19">
      <c r="A788" s="45"/>
    </row>
    <row r="789" spans="1:1" ht="19">
      <c r="A789" s="45"/>
    </row>
    <row r="790" spans="1:1" ht="19">
      <c r="A790" s="45"/>
    </row>
    <row r="791" spans="1:1" ht="19">
      <c r="A791" s="45"/>
    </row>
    <row r="792" spans="1:1" ht="19">
      <c r="A792" s="45"/>
    </row>
    <row r="793" spans="1:1" ht="19">
      <c r="A793" s="45"/>
    </row>
    <row r="794" spans="1:1" ht="19">
      <c r="A794" s="45"/>
    </row>
    <row r="795" spans="1:1" ht="19">
      <c r="A795" s="45"/>
    </row>
    <row r="796" spans="1:1" ht="19">
      <c r="A796" s="45"/>
    </row>
    <row r="797" spans="1:1" ht="19">
      <c r="A797" s="45"/>
    </row>
    <row r="798" spans="1:1" ht="19">
      <c r="A798" s="45"/>
    </row>
    <row r="799" spans="1:1" ht="19">
      <c r="A799" s="45"/>
    </row>
    <row r="800" spans="1:1" ht="19">
      <c r="A800" s="45"/>
    </row>
    <row r="801" spans="1:1" ht="19">
      <c r="A801" s="45"/>
    </row>
    <row r="802" spans="1:1" ht="19">
      <c r="A802" s="45"/>
    </row>
    <row r="803" spans="1:1" ht="19">
      <c r="A803" s="45"/>
    </row>
    <row r="804" spans="1:1" ht="19">
      <c r="A804" s="45"/>
    </row>
    <row r="805" spans="1:1" ht="19">
      <c r="A805" s="45"/>
    </row>
    <row r="806" spans="1:1" ht="19">
      <c r="A806" s="45"/>
    </row>
    <row r="807" spans="1:1" ht="19">
      <c r="A807" s="45"/>
    </row>
    <row r="808" spans="1:1" ht="19">
      <c r="A808" s="45"/>
    </row>
    <row r="809" spans="1:1" ht="19">
      <c r="A809" s="45"/>
    </row>
    <row r="810" spans="1:1" ht="19">
      <c r="A810" s="45"/>
    </row>
    <row r="811" spans="1:1" ht="19">
      <c r="A811" s="45"/>
    </row>
    <row r="812" spans="1:1" ht="19">
      <c r="A812" s="45"/>
    </row>
    <row r="813" spans="1:1" ht="19">
      <c r="A813" s="45"/>
    </row>
    <row r="814" spans="1:1" ht="19">
      <c r="A814" s="45"/>
    </row>
    <row r="815" spans="1:1" ht="19">
      <c r="A815" s="45"/>
    </row>
    <row r="816" spans="1:1" ht="19">
      <c r="A816" s="45"/>
    </row>
    <row r="817" spans="1:1" ht="19">
      <c r="A817" s="45"/>
    </row>
    <row r="818" spans="1:1" ht="19">
      <c r="A818" s="45"/>
    </row>
    <row r="819" spans="1:1" ht="19">
      <c r="A819" s="45"/>
    </row>
    <row r="820" spans="1:1" ht="19">
      <c r="A820" s="45"/>
    </row>
    <row r="821" spans="1:1" ht="19">
      <c r="A821" s="45"/>
    </row>
    <row r="822" spans="1:1" ht="19">
      <c r="A822" s="45"/>
    </row>
    <row r="823" spans="1:1" ht="19">
      <c r="A823" s="45"/>
    </row>
    <row r="824" spans="1:1" ht="19">
      <c r="A824" s="45"/>
    </row>
    <row r="825" spans="1:1" ht="19">
      <c r="A825" s="45"/>
    </row>
    <row r="826" spans="1:1" ht="19">
      <c r="A826" s="45"/>
    </row>
    <row r="827" spans="1:1" ht="19">
      <c r="A827" s="45"/>
    </row>
    <row r="828" spans="1:1" ht="19">
      <c r="A828" s="45"/>
    </row>
    <row r="829" spans="1:1" ht="19">
      <c r="A829" s="45"/>
    </row>
    <row r="830" spans="1:1" ht="19">
      <c r="A830" s="45"/>
    </row>
    <row r="831" spans="1:1" ht="19">
      <c r="A831" s="45"/>
    </row>
    <row r="832" spans="1:1" ht="19">
      <c r="A832" s="45"/>
    </row>
    <row r="833" spans="1:1" ht="19">
      <c r="A833" s="45"/>
    </row>
    <row r="834" spans="1:1" ht="19">
      <c r="A834" s="45"/>
    </row>
    <row r="835" spans="1:1" ht="19">
      <c r="A835" s="45"/>
    </row>
    <row r="836" spans="1:1" ht="19">
      <c r="A836" s="45"/>
    </row>
    <row r="837" spans="1:1" ht="19">
      <c r="A837" s="45"/>
    </row>
    <row r="838" spans="1:1" ht="19">
      <c r="A838" s="45"/>
    </row>
    <row r="839" spans="1:1" ht="19">
      <c r="A839" s="45"/>
    </row>
    <row r="840" spans="1:1" ht="19">
      <c r="A840" s="45"/>
    </row>
    <row r="841" spans="1:1" ht="19">
      <c r="A841" s="45"/>
    </row>
    <row r="842" spans="1:1" ht="19">
      <c r="A842" s="45"/>
    </row>
    <row r="843" spans="1:1" ht="19">
      <c r="A843" s="45"/>
    </row>
    <row r="844" spans="1:1" ht="19">
      <c r="A844" s="45"/>
    </row>
    <row r="845" spans="1:1" ht="19">
      <c r="A845" s="45"/>
    </row>
    <row r="846" spans="1:1" ht="19">
      <c r="A846" s="45"/>
    </row>
    <row r="847" spans="1:1" ht="19">
      <c r="A847" s="45"/>
    </row>
    <row r="848" spans="1:1" ht="19">
      <c r="A848" s="45"/>
    </row>
    <row r="849" spans="1:1" ht="19">
      <c r="A849" s="45"/>
    </row>
    <row r="850" spans="1:1" ht="19">
      <c r="A850" s="45"/>
    </row>
    <row r="851" spans="1:1" ht="19">
      <c r="A851" s="45"/>
    </row>
    <row r="852" spans="1:1" ht="19">
      <c r="A852" s="45"/>
    </row>
    <row r="853" spans="1:1" ht="19">
      <c r="A853" s="45"/>
    </row>
    <row r="854" spans="1:1" ht="19">
      <c r="A854" s="45"/>
    </row>
    <row r="855" spans="1:1" ht="19">
      <c r="A855" s="45"/>
    </row>
    <row r="856" spans="1:1" ht="19">
      <c r="A856" s="45"/>
    </row>
    <row r="857" spans="1:1" ht="19">
      <c r="A857" s="45"/>
    </row>
    <row r="858" spans="1:1" ht="19">
      <c r="A858" s="45"/>
    </row>
    <row r="859" spans="1:1" ht="19">
      <c r="A859" s="45"/>
    </row>
    <row r="860" spans="1:1" ht="19">
      <c r="A860" s="45"/>
    </row>
    <row r="861" spans="1:1" ht="19">
      <c r="A861" s="45"/>
    </row>
    <row r="862" spans="1:1" ht="19">
      <c r="A862" s="45"/>
    </row>
    <row r="863" spans="1:1" ht="19">
      <c r="A863" s="45"/>
    </row>
    <row r="864" spans="1:1" ht="19">
      <c r="A864" s="45"/>
    </row>
    <row r="865" spans="1:1" ht="19">
      <c r="A865" s="45"/>
    </row>
    <row r="866" spans="1:1" ht="19">
      <c r="A866" s="45"/>
    </row>
    <row r="867" spans="1:1" ht="19">
      <c r="A867" s="45"/>
    </row>
    <row r="868" spans="1:1" ht="19">
      <c r="A868" s="45"/>
    </row>
    <row r="869" spans="1:1" ht="19">
      <c r="A869" s="45"/>
    </row>
    <row r="870" spans="1:1" ht="19">
      <c r="A870" s="45"/>
    </row>
    <row r="871" spans="1:1" ht="19">
      <c r="A871" s="45"/>
    </row>
    <row r="872" spans="1:1" ht="19">
      <c r="A872" s="45"/>
    </row>
    <row r="873" spans="1:1" ht="19">
      <c r="A873" s="45"/>
    </row>
    <row r="874" spans="1:1" ht="19">
      <c r="A874" s="45"/>
    </row>
    <row r="875" spans="1:1" ht="19">
      <c r="A875" s="45"/>
    </row>
    <row r="876" spans="1:1" ht="19">
      <c r="A876" s="45"/>
    </row>
    <row r="877" spans="1:1" ht="19">
      <c r="A877" s="45"/>
    </row>
    <row r="878" spans="1:1" ht="19">
      <c r="A878" s="45"/>
    </row>
    <row r="879" spans="1:1" ht="19">
      <c r="A879" s="45"/>
    </row>
    <row r="880" spans="1:1" ht="19">
      <c r="A880" s="45"/>
    </row>
    <row r="881" spans="1:1" ht="19">
      <c r="A881" s="45"/>
    </row>
    <row r="882" spans="1:1" ht="19">
      <c r="A882" s="45"/>
    </row>
    <row r="883" spans="1:1" ht="19">
      <c r="A883" s="45"/>
    </row>
    <row r="884" spans="1:1" ht="19">
      <c r="A884" s="45"/>
    </row>
    <row r="885" spans="1:1" ht="19">
      <c r="A885" s="45"/>
    </row>
    <row r="886" spans="1:1" ht="19">
      <c r="A886" s="45"/>
    </row>
    <row r="887" spans="1:1" ht="19">
      <c r="A887" s="45"/>
    </row>
    <row r="888" spans="1:1" ht="19">
      <c r="A888" s="45"/>
    </row>
    <row r="889" spans="1:1" ht="19">
      <c r="A889" s="45"/>
    </row>
    <row r="890" spans="1:1" ht="19">
      <c r="A890" s="45"/>
    </row>
    <row r="891" spans="1:1" ht="19">
      <c r="A891" s="45"/>
    </row>
    <row r="892" spans="1:1" ht="19">
      <c r="A892" s="45"/>
    </row>
    <row r="893" spans="1:1" ht="19">
      <c r="A893" s="45"/>
    </row>
    <row r="894" spans="1:1" ht="19">
      <c r="A894" s="45"/>
    </row>
    <row r="895" spans="1:1" ht="19">
      <c r="A895" s="45"/>
    </row>
    <row r="896" spans="1:1" ht="19">
      <c r="A896" s="45"/>
    </row>
    <row r="897" spans="1:1" ht="19">
      <c r="A897" s="45"/>
    </row>
    <row r="898" spans="1:1" ht="19">
      <c r="A898" s="45"/>
    </row>
    <row r="899" spans="1:1" ht="19">
      <c r="A899" s="45"/>
    </row>
    <row r="900" spans="1:1" ht="19">
      <c r="A900" s="45"/>
    </row>
    <row r="901" spans="1:1" ht="19">
      <c r="A901" s="45"/>
    </row>
    <row r="902" spans="1:1" ht="19">
      <c r="A902" s="45"/>
    </row>
    <row r="903" spans="1:1" ht="19">
      <c r="A903" s="45"/>
    </row>
    <row r="904" spans="1:1" ht="19">
      <c r="A904" s="45"/>
    </row>
    <row r="905" spans="1:1" ht="19">
      <c r="A905" s="45"/>
    </row>
    <row r="906" spans="1:1" ht="19">
      <c r="A906" s="45"/>
    </row>
    <row r="907" spans="1:1" ht="19">
      <c r="A907" s="45"/>
    </row>
  </sheetData>
  <mergeCells count="2">
    <mergeCell ref="A2:N2"/>
    <mergeCell ref="A1:N1"/>
  </mergeCells>
  <conditionalFormatting sqref="A5:A104">
    <cfRule type="expression" dxfId="13" priority="26">
      <formula>$A5="CTE Pathway, Scheduling &amp; Funding"</formula>
    </cfRule>
    <cfRule type="expression" dxfId="12" priority="28">
      <formula>$A5="Instructional Design, PBL &amp; Defenses"</formula>
    </cfRule>
    <cfRule type="expression" dxfId="11" priority="30">
      <formula>$A5="Pathway Strategy, Data &amp; Certification"</formula>
    </cfRule>
    <cfRule type="expression" dxfId="10" priority="32">
      <formula>$A5="Professional Learning &amp; Leadership"</formula>
    </cfRule>
    <cfRule type="expression" dxfId="9" priority="34">
      <formula>$A5="WBL Planning, Partnerships &amp; Career Exposure"</formula>
    </cfRule>
    <cfRule type="expression" dxfId="8" priority="36">
      <formula>$A5="Internships &amp; Work Readiness"</formula>
    </cfRule>
    <cfRule type="expression" dxfId="7" priority="38">
      <formula>$A5="WBL Operations, Logistics &amp; Reporting"</formula>
    </cfRule>
  </conditionalFormatting>
  <conditionalFormatting sqref="C5:N104">
    <cfRule type="expression" dxfId="6" priority="27">
      <formula>AND(C5&lt;&gt;"",$A5="CTE Pathway, Scheduling &amp; Funding")</formula>
    </cfRule>
    <cfRule type="expression" dxfId="5" priority="29">
      <formula>AND(C5&lt;&gt;"",$A5="Instructional Design, PBL &amp; Defenses")</formula>
    </cfRule>
    <cfRule type="expression" dxfId="4" priority="31">
      <formula>AND(C5&lt;&gt;"",$A5="Pathway Strategy, Data &amp; Certification")</formula>
    </cfRule>
    <cfRule type="expression" dxfId="3" priority="33">
      <formula>AND(C5&lt;&gt;"",$A5="Professional Learning &amp; Leadership")</formula>
    </cfRule>
    <cfRule type="expression" dxfId="2" priority="35">
      <formula>AND(C5&lt;&gt;"",$A5="WBL Planning, Partnerships &amp; Career Exposure")</formula>
    </cfRule>
    <cfRule type="expression" dxfId="1" priority="37">
      <formula>AND(C5&lt;&gt;"",$A5="Internships &amp; Work Readiness")</formula>
    </cfRule>
    <cfRule type="expression" dxfId="0" priority="39">
      <formula>AND(C5&lt;&gt;"",$A5="WBL Operations, Logistics &amp; Reporting")</formula>
    </cfRule>
  </conditionalFormatting>
  <conditionalFormatting sqref="C106:N106">
    <cfRule type="colorScale" priority="17">
      <colorScale>
        <cfvo type="min"/>
        <cfvo type="percentile" val="50"/>
        <cfvo type="max"/>
        <color rgb="FFEAF3DE"/>
        <color rgb="FFFAEEDA"/>
        <color rgb="FFFCEBEE"/>
      </colorScale>
    </cfRule>
  </conditionalFormatting>
  <conditionalFormatting sqref="C106:N108">
    <cfRule type="colorScale" priority="25">
      <colorScale>
        <cfvo type="min"/>
        <cfvo type="percentile" val="50"/>
        <cfvo type="max"/>
        <color rgb="FFE2F0D9"/>
        <color rgb="FFFFF2CC"/>
        <color rgb="FFF4CCCC"/>
      </colorScale>
    </cfRule>
  </conditionalFormatting>
  <hyperlinks>
    <hyperlink ref="K5" r:id="rId1" display="https://docs.google.com/document/d/1Ykh-NHN-0CNySPAw--TcHPXBpeSqfCey9460CYr9g0w/edit?usp=drive_link" xr:uid="{00000000-0004-0000-0100-000000000000}"/>
    <hyperlink ref="I6" r:id="rId2" display="https://lausd.sharepoint.com/:w:/r/sites/itd_misis/_layouts/15/Doc.aspx?sourcedoc=%7bB4C72AAD-9328-494B-B107-1029FC253DC4%7d&amp;file=SCH%20070%200290%20Capstone%20Enrollment%20with%20no%20Prior%20Concentrator%20course%20in%20same%20Pathway.docx&amp;action=default&amp;mobileredirect=true" xr:uid="{00000000-0004-0000-0100-000001000000}"/>
    <hyperlink ref="E7" r:id="rId3" display="https://lausd.sharepoint.com/:w:/r/sites/itd_misis/_layouts/15/Doc.aspx?sourcedoc=%7bB4C72AAD-9328-494B-B107-1029FC253DC4%7d&amp;file=SCH%20070%200290%20Capstone%20Enrollment%20with%20no%20Prior%20Concentrator%20course%20in%20same%20Pathway.docx&amp;action=default&amp;mobileredirect=true" xr:uid="{00000000-0004-0000-0100-000002000000}"/>
    <hyperlink ref="N7" r:id="rId4" display="https://lausd.sharepoint.com/:w:/r/sites/itd_misis/_layouts/15/Doc.aspx?sourcedoc=%7bB4C72AAD-9328-494B-B107-1029FC253DC4%7d&amp;file=SCH%20070%200290%20Capstone%20Enrollment%20with%20no%20Prior%20Concentrator%20course%20in%20same%20Pathway.docx&amp;action=default&amp;mobileredirect=true" xr:uid="{00000000-0004-0000-0100-000003000000}"/>
    <hyperlink ref="I10" r:id="rId5" display="https://docs.google.com/document/d/1-jmc7z8A2RUCvaOVRxXY96vUSbBG-KtDJSHL5HhUeNk/edit?tab=t.0" xr:uid="{00000000-0004-0000-0100-000004000000}"/>
    <hyperlink ref="N11" r:id="rId6" display="https://docs.google.com/presentation/d/1IRXy4tLtRVreYJGUQF2DkNsSBS08D6r8tbbnUNdGliY/edit?usp=sharing"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2"/>
  <sheetViews>
    <sheetView workbookViewId="0">
      <selection activeCell="A10" sqref="A10:E10"/>
    </sheetView>
  </sheetViews>
  <sheetFormatPr baseColWidth="10" defaultColWidth="8.6640625" defaultRowHeight="18"/>
  <cols>
    <col min="1" max="1" width="8" style="18" customWidth="1"/>
    <col min="2" max="2" width="16" style="1" customWidth="1"/>
    <col min="3" max="3" width="50" style="1" customWidth="1"/>
    <col min="4" max="5" width="15" style="1" customWidth="1"/>
    <col min="6" max="16384" width="8.6640625" style="1"/>
  </cols>
  <sheetData>
    <row r="1" spans="1:5" ht="29">
      <c r="A1" s="46" t="s">
        <v>32</v>
      </c>
      <c r="B1" s="47"/>
      <c r="C1" s="47"/>
      <c r="D1" s="47"/>
      <c r="E1" s="47"/>
    </row>
    <row r="3" spans="1:5" ht="19">
      <c r="A3" s="56" t="s">
        <v>33</v>
      </c>
      <c r="B3" s="47"/>
      <c r="C3" s="47"/>
      <c r="D3" s="47"/>
      <c r="E3" s="47"/>
    </row>
    <row r="4" spans="1:5">
      <c r="A4" s="54" t="s">
        <v>34</v>
      </c>
      <c r="B4" s="47"/>
      <c r="C4" s="47"/>
      <c r="D4" s="47"/>
      <c r="E4" s="47"/>
    </row>
    <row r="5" spans="1:5" ht="19">
      <c r="A5" s="56" t="s">
        <v>35</v>
      </c>
      <c r="B5" s="47"/>
      <c r="C5" s="47"/>
      <c r="D5" s="47"/>
      <c r="E5" s="47"/>
    </row>
    <row r="6" spans="1:5">
      <c r="A6" s="54" t="s">
        <v>36</v>
      </c>
      <c r="B6" s="47"/>
      <c r="C6" s="47"/>
      <c r="D6" s="47"/>
      <c r="E6" s="47"/>
    </row>
    <row r="7" spans="1:5" ht="19">
      <c r="A7" s="56" t="s">
        <v>37</v>
      </c>
      <c r="B7" s="47"/>
      <c r="C7" s="47"/>
      <c r="D7" s="47"/>
      <c r="E7" s="47"/>
    </row>
    <row r="8" spans="1:5">
      <c r="A8" s="54" t="s">
        <v>38</v>
      </c>
      <c r="B8" s="47"/>
      <c r="C8" s="47"/>
      <c r="D8" s="47"/>
      <c r="E8" s="47"/>
    </row>
    <row r="9" spans="1:5" ht="19">
      <c r="A9" s="56" t="s">
        <v>39</v>
      </c>
      <c r="B9" s="47"/>
      <c r="C9" s="47"/>
      <c r="D9" s="47"/>
      <c r="E9" s="47"/>
    </row>
    <row r="10" spans="1:5">
      <c r="A10" s="54" t="s">
        <v>40</v>
      </c>
      <c r="B10" s="47"/>
      <c r="C10" s="47"/>
      <c r="D10" s="47"/>
      <c r="E10" s="47"/>
    </row>
    <row r="11" spans="1:5" ht="19">
      <c r="A11" s="56" t="s">
        <v>41</v>
      </c>
      <c r="B11" s="47"/>
      <c r="C11" s="47"/>
      <c r="D11" s="47"/>
      <c r="E11" s="47"/>
    </row>
    <row r="12" spans="1:5">
      <c r="A12" s="54" t="s">
        <v>42</v>
      </c>
      <c r="B12" s="47"/>
      <c r="C12" s="47"/>
      <c r="D12" s="47"/>
      <c r="E12" s="47"/>
    </row>
    <row r="13" spans="1:5" ht="19">
      <c r="A13" s="56" t="s">
        <v>43</v>
      </c>
      <c r="B13" s="47"/>
      <c r="C13" s="47"/>
      <c r="D13" s="47"/>
      <c r="E13" s="47"/>
    </row>
    <row r="14" spans="1:5">
      <c r="A14" s="59" t="s">
        <v>159</v>
      </c>
      <c r="B14" s="47"/>
      <c r="C14" s="47"/>
      <c r="D14" s="47"/>
      <c r="E14" s="47"/>
    </row>
    <row r="15" spans="1:5">
      <c r="A15" s="54" t="s">
        <v>44</v>
      </c>
      <c r="B15" s="47"/>
      <c r="C15" s="47"/>
      <c r="D15" s="47"/>
      <c r="E15" s="47"/>
    </row>
    <row r="16" spans="1:5">
      <c r="A16" s="59" t="s">
        <v>45</v>
      </c>
      <c r="B16" s="47"/>
      <c r="C16" s="47"/>
      <c r="D16" s="47"/>
      <c r="E16" s="47"/>
    </row>
    <row r="17" spans="1:5">
      <c r="A17" s="54" t="s">
        <v>160</v>
      </c>
      <c r="B17" s="47"/>
      <c r="C17" s="47"/>
      <c r="D17" s="47"/>
      <c r="E17" s="47"/>
    </row>
    <row r="20" spans="1:5" ht="22">
      <c r="A20" s="55" t="s">
        <v>46</v>
      </c>
      <c r="B20" s="47"/>
      <c r="C20" s="47"/>
      <c r="D20" s="47"/>
      <c r="E20" s="47"/>
    </row>
    <row r="22" spans="1:5">
      <c r="A22" s="28"/>
      <c r="B22" s="62" t="s">
        <v>61</v>
      </c>
      <c r="C22" s="47"/>
      <c r="D22" s="47"/>
      <c r="E22" s="47"/>
    </row>
    <row r="23" spans="1:5">
      <c r="A23" s="29"/>
      <c r="B23" s="52" t="s">
        <v>74</v>
      </c>
      <c r="C23" s="47"/>
      <c r="D23" s="47"/>
      <c r="E23" s="47"/>
    </row>
    <row r="24" spans="1:5">
      <c r="A24" s="30"/>
      <c r="B24" s="64" t="s">
        <v>87</v>
      </c>
      <c r="C24" s="47"/>
      <c r="D24" s="47"/>
      <c r="E24" s="47"/>
    </row>
    <row r="25" spans="1:5">
      <c r="A25" s="31"/>
      <c r="B25" s="60" t="s">
        <v>102</v>
      </c>
      <c r="C25" s="47"/>
      <c r="D25" s="47"/>
      <c r="E25" s="47"/>
    </row>
    <row r="26" spans="1:5">
      <c r="A26" s="32"/>
      <c r="B26" s="65" t="s">
        <v>120</v>
      </c>
      <c r="C26" s="47"/>
      <c r="D26" s="47"/>
      <c r="E26" s="47"/>
    </row>
    <row r="27" spans="1:5">
      <c r="A27" s="33"/>
      <c r="B27" s="63" t="s">
        <v>130</v>
      </c>
      <c r="C27" s="47"/>
      <c r="D27" s="47"/>
      <c r="E27" s="47"/>
    </row>
    <row r="28" spans="1:5">
      <c r="A28" s="34"/>
      <c r="B28" s="57" t="s">
        <v>150</v>
      </c>
      <c r="C28" s="47"/>
      <c r="D28" s="47"/>
      <c r="E28" s="47"/>
    </row>
    <row r="31" spans="1:5" ht="22">
      <c r="A31" s="55" t="s">
        <v>47</v>
      </c>
      <c r="B31" s="47"/>
      <c r="C31" s="47"/>
      <c r="D31" s="47"/>
      <c r="E31" s="47"/>
    </row>
    <row r="33" spans="1:5" ht="19">
      <c r="A33" s="35">
        <v>1</v>
      </c>
      <c r="B33" s="36" t="s">
        <v>48</v>
      </c>
      <c r="C33" s="53" t="s">
        <v>49</v>
      </c>
      <c r="D33" s="47"/>
      <c r="E33" s="47"/>
    </row>
    <row r="34" spans="1:5" ht="19">
      <c r="A34" s="37">
        <v>2</v>
      </c>
      <c r="B34" s="38" t="s">
        <v>50</v>
      </c>
      <c r="C34" s="53" t="s">
        <v>51</v>
      </c>
      <c r="D34" s="47"/>
      <c r="E34" s="47"/>
    </row>
    <row r="35" spans="1:5" ht="19">
      <c r="A35" s="39">
        <v>3</v>
      </c>
      <c r="B35" s="40" t="s">
        <v>52</v>
      </c>
      <c r="C35" s="53" t="s">
        <v>53</v>
      </c>
      <c r="D35" s="47"/>
      <c r="E35" s="47"/>
    </row>
    <row r="36" spans="1:5" ht="19">
      <c r="A36" s="41">
        <v>4</v>
      </c>
      <c r="B36" s="42" t="s">
        <v>54</v>
      </c>
      <c r="C36" s="53" t="s">
        <v>55</v>
      </c>
      <c r="D36" s="47"/>
      <c r="E36" s="47"/>
    </row>
    <row r="39" spans="1:5" ht="22">
      <c r="A39" s="55" t="s">
        <v>56</v>
      </c>
      <c r="B39" s="47"/>
      <c r="C39" s="47"/>
      <c r="D39" s="47"/>
      <c r="E39" s="47"/>
    </row>
    <row r="40" spans="1:5" ht="19">
      <c r="A40" s="18" t="s">
        <v>57</v>
      </c>
      <c r="B40" s="61" t="s">
        <v>26</v>
      </c>
      <c r="C40" s="47"/>
      <c r="D40" s="47"/>
      <c r="E40" s="47"/>
    </row>
    <row r="41" spans="1:5" ht="19">
      <c r="A41" s="18" t="s">
        <v>58</v>
      </c>
      <c r="B41" s="58" t="s">
        <v>28</v>
      </c>
      <c r="C41" s="47"/>
      <c r="D41" s="47"/>
      <c r="E41" s="47"/>
    </row>
    <row r="42" spans="1:5" ht="19">
      <c r="A42" s="18" t="s">
        <v>59</v>
      </c>
      <c r="B42" s="51" t="s">
        <v>60</v>
      </c>
      <c r="C42" s="47"/>
      <c r="D42" s="47"/>
      <c r="E42" s="47"/>
    </row>
  </sheetData>
  <mergeCells count="33">
    <mergeCell ref="A1:E1"/>
    <mergeCell ref="B24:E24"/>
    <mergeCell ref="A6:E6"/>
    <mergeCell ref="B26:E26"/>
    <mergeCell ref="A3:E3"/>
    <mergeCell ref="A5:E5"/>
    <mergeCell ref="A12:E12"/>
    <mergeCell ref="A14:E14"/>
    <mergeCell ref="A8:E8"/>
    <mergeCell ref="A11:E11"/>
    <mergeCell ref="C34:E34"/>
    <mergeCell ref="A17:E17"/>
    <mergeCell ref="A39:E39"/>
    <mergeCell ref="B40:E40"/>
    <mergeCell ref="A15:E15"/>
    <mergeCell ref="B22:E22"/>
    <mergeCell ref="B27:E27"/>
    <mergeCell ref="B42:E42"/>
    <mergeCell ref="B23:E23"/>
    <mergeCell ref="C33:E33"/>
    <mergeCell ref="A4:E4"/>
    <mergeCell ref="A20:E20"/>
    <mergeCell ref="A10:E10"/>
    <mergeCell ref="A13:E13"/>
    <mergeCell ref="A31:E31"/>
    <mergeCell ref="B28:E28"/>
    <mergeCell ref="C35:E35"/>
    <mergeCell ref="A9:E9"/>
    <mergeCell ref="B41:E41"/>
    <mergeCell ref="C36:E36"/>
    <mergeCell ref="A16:E16"/>
    <mergeCell ref="A7:E7"/>
    <mergeCell ref="B25:E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8EEB21006C8D4980F947D3944E9007" ma:contentTypeVersion="17" ma:contentTypeDescription="Create a new document." ma:contentTypeScope="" ma:versionID="e5428a60bea58cce85b4dd54c1fde3e7">
  <xsd:schema xmlns:xsd="http://www.w3.org/2001/XMLSchema" xmlns:xs="http://www.w3.org/2001/XMLSchema" xmlns:p="http://schemas.microsoft.com/office/2006/metadata/properties" xmlns:ns2="a604bf0b-2e2e-4e0c-96a8-9c0942b10fca" xmlns:ns3="c786775d-7fc5-4a26-9516-725062e25b6a" targetNamespace="http://schemas.microsoft.com/office/2006/metadata/properties" ma:root="true" ma:fieldsID="189d387f0f6a07d6a20db68bee1dd4ec" ns2:_="" ns3:_="">
    <xsd:import namespace="a604bf0b-2e2e-4e0c-96a8-9c0942b10fca"/>
    <xsd:import namespace="c786775d-7fc5-4a26-9516-725062e25b6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04bf0b-2e2e-4e0c-96a8-9c0942b10f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2e4ffc-addb-439b-972d-eea4499ade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86775d-7fc5-4a26-9516-725062e25b6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3ae7090-fd63-4ee0-a6a7-7e006b9d8595}" ma:internalName="TaxCatchAll" ma:showField="CatchAllData" ma:web="c786775d-7fc5-4a26-9516-725062e25b6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604bf0b-2e2e-4e0c-96a8-9c0942b10fca">
      <Terms xmlns="http://schemas.microsoft.com/office/infopath/2007/PartnerControls"/>
    </lcf76f155ced4ddcb4097134ff3c332f>
    <TaxCatchAll xmlns="c786775d-7fc5-4a26-9516-725062e25b6a" xsi:nil="true"/>
  </documentManagement>
</p:properties>
</file>

<file path=customXml/itemProps1.xml><?xml version="1.0" encoding="utf-8"?>
<ds:datastoreItem xmlns:ds="http://schemas.openxmlformats.org/officeDocument/2006/customXml" ds:itemID="{9ACFA059-5BF4-4A6A-9478-4A5849254A46}"/>
</file>

<file path=customXml/itemProps2.xml><?xml version="1.0" encoding="utf-8"?>
<ds:datastoreItem xmlns:ds="http://schemas.openxmlformats.org/officeDocument/2006/customXml" ds:itemID="{B2B86C6B-F48C-4D96-BA8D-76970378854F}"/>
</file>

<file path=customXml/itemProps3.xml><?xml version="1.0" encoding="utf-8"?>
<ds:datastoreItem xmlns:ds="http://schemas.openxmlformats.org/officeDocument/2006/customXml" ds:itemID="{98D37BC3-4757-473C-8F79-2EDB75A2476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Activities</vt:lpstr>
      <vt:lpstr>Gantt</vt:lpstr>
      <vt:lpstr>Legend &amp; 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Gertner, Ben</cp:lastModifiedBy>
  <dcterms:created xsi:type="dcterms:W3CDTF">2026-08-18T18:18:31Z</dcterms:created>
  <dcterms:modified xsi:type="dcterms:W3CDTF">2026-08-27T01:32:27Z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0x0101002E8EEB21006C8D4980F947D3944E9007</vt:lpwstr>
  </property>
</Properties>
</file>